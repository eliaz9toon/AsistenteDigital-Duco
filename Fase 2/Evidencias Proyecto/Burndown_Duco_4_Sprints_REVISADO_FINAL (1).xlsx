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3551\Downloads\"/>
    </mc:Choice>
  </mc:AlternateContent>
  <bookViews>
    <workbookView xWindow="0" yWindow="0" windowWidth="23040" windowHeight="9072"/>
  </bookViews>
  <sheets>
    <sheet name="Resumen verificado" sheetId="1" r:id="rId1"/>
    <sheet name="Sprint 1" sheetId="2" r:id="rId2"/>
    <sheet name="Sprint 2" sheetId="3" r:id="rId3"/>
    <sheet name="Sprint 3" sheetId="4" r:id="rId4"/>
    <sheet name="Sprint 4" sheetId="5" r:id="rId5"/>
    <sheet name="Fuentes y trazabilidad" sheetId="6" r:id="rId6"/>
    <sheet name="Avance tareas Kanban" sheetId="7" r:id="rId7"/>
  </sheets>
  <calcPr calcId="162913"/>
</workbook>
</file>

<file path=xl/calcChain.xml><?xml version="1.0" encoding="utf-8"?>
<calcChain xmlns="http://schemas.openxmlformats.org/spreadsheetml/2006/main">
  <c r="F41" i="7" l="1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I41" i="7" s="1"/>
  <c r="H5" i="7"/>
  <c r="H41" i="7" s="1"/>
  <c r="F9" i="1"/>
  <c r="E9" i="1"/>
  <c r="D9" i="1"/>
  <c r="C9" i="1"/>
  <c r="B9" i="1"/>
</calcChain>
</file>

<file path=xl/sharedStrings.xml><?xml version="1.0" encoding="utf-8"?>
<sst xmlns="http://schemas.openxmlformats.org/spreadsheetml/2006/main" count="586" uniqueCount="163">
  <si>
    <t>DUCO ASISTE | CONTROL BURNDOWN — 4 SPRINTS</t>
  </si>
  <si>
    <t>Fuente: Kanban original (tareas y estados), Sprint Backlog (horas estimadas) y Daily Standup (actividades). No existen registros para medir horas trabajadas diarias.</t>
  </si>
  <si>
    <t>Sprint</t>
  </si>
  <si>
    <t>Tareas</t>
  </si>
  <si>
    <t>Terminadas</t>
  </si>
  <si>
    <t>Pendientes</t>
  </si>
  <si>
    <t>Horas estimadas totales</t>
  </si>
  <si>
    <t>Horas estimadas pendientes</t>
  </si>
  <si>
    <t>Sprint 1</t>
  </si>
  <si>
    <t>Sprint 2</t>
  </si>
  <si>
    <t>Sprint 3</t>
  </si>
  <si>
    <t>Sprint 4</t>
  </si>
  <si>
    <t>Total</t>
  </si>
  <si>
    <t>AVANCE CONOCIDO: ver hoja «Avance tareas Kanban» para las 36 tareas, responsable, estado y horas estimadas de cada una.</t>
  </si>
  <si>
    <t>Horas trabajadas reconstruidas: Sprint 1: 12 h; Sprint 2: 38 h; Sprint 3: 19 h; Sprint 4: 12 h (total 81 h). Distribución propuesta y confirmada por el usuario, sin medición diaria original.</t>
  </si>
  <si>
    <t>Horas reales reconstruidas</t>
  </si>
  <si>
    <t>Origen</t>
  </si>
  <si>
    <t>Reconstrucción confirmada por usuario</t>
  </si>
  <si>
    <t>Interpretación: 64 h estimadas de tareas terminadas ≠ 81 h de tiempo reconstruido. La curva naranja es solo una interpolación del trabajo pendiente estimado y no sustituye el Burndown observado.</t>
  </si>
  <si>
    <t>DUCO ASISTE | SPRINT 1 — CONTROL BURNDOWN</t>
  </si>
  <si>
    <t>Seguimiento: curva ideal, proyección calculada y horas retrospectivas confirmadas por el usuario. La reconstrucción diaria no proviene de partes de trabajo originales.</t>
  </si>
  <si>
    <t>Horas estimadas del sprint</t>
  </si>
  <si>
    <t>Horas estimadas de tareas pendientes</t>
  </si>
  <si>
    <t>Horas estimadas de tareas terminadas</t>
  </si>
  <si>
    <t>Tareas terminadas según Kanban</t>
  </si>
  <si>
    <t>Día</t>
  </si>
  <si>
    <t>Ideal pendiente (h estimadas)</t>
  </si>
  <si>
    <t>Proyección del trabajo restante (h estimadas)</t>
  </si>
  <si>
    <t>Plan acumulado (h estimadas)</t>
  </si>
  <si>
    <t>Brecha ideal/proyección (h estimadas)</t>
  </si>
  <si>
    <t>Horas trabajadas reconstruidas (h)</t>
  </si>
  <si>
    <t>Fuente y tipo de dato</t>
  </si>
  <si>
    <t>Inicio: estimación Sprint Backlog</t>
  </si>
  <si>
    <t>Horas reconstruidas retrospectivamente; proyección C no observada</t>
  </si>
  <si>
    <t>Horas reconstruidas; cierre Kanban = h estimadas pendientes</t>
  </si>
  <si>
    <t>SPRINT 1 | DETALLE DE TAREAS Y AVANCE REGISTRADO</t>
  </si>
  <si>
    <t>ID Tarea</t>
  </si>
  <si>
    <t>Actividad</t>
  </si>
  <si>
    <t>Estimadas (h)</t>
  </si>
  <si>
    <t>Estado Kanban</t>
  </si>
  <si>
    <t>Responsable</t>
  </si>
  <si>
    <t>E4-H1-T01</t>
  </si>
  <si>
    <t>Diseñar la estructura visual de la interfaz de chat de Duco</t>
  </si>
  <si>
    <t>Pendiente</t>
  </si>
  <si>
    <t>Matías Peredo</t>
  </si>
  <si>
    <t>E4-H1-T02</t>
  </si>
  <si>
    <t>Implementar apertura y cierre de la interfaz de chat</t>
  </si>
  <si>
    <t>Terminado</t>
  </si>
  <si>
    <t>E4-H1-T03</t>
  </si>
  <si>
    <t>Implementar envío y visualización diferenciada de mensajes</t>
  </si>
  <si>
    <t>E4-H1-T04</t>
  </si>
  <si>
    <t>Verificar continuidad del chat durante la navegación</t>
  </si>
  <si>
    <t>Nicolás Huenchuñir</t>
  </si>
  <si>
    <t>E1-H1-T01</t>
  </si>
  <si>
    <t>Implementar campo de consulta y acción de envío</t>
  </si>
  <si>
    <t>E1-H1-T02</t>
  </si>
  <si>
    <t>Validar consultas vacías antes del procesamiento</t>
  </si>
  <si>
    <t>E1-H1-T03</t>
  </si>
  <si>
    <t>Implementar flujo para procesar consultas válidas</t>
  </si>
  <si>
    <t>Elías Cornejo</t>
  </si>
  <si>
    <t>E1-H1-T04</t>
  </si>
  <si>
    <t>Permitir nuevas consultas dentro de la misma conversación</t>
  </si>
  <si>
    <t>Las fechas de terminación de cada tarea no constan en el Kanban. Las horas reconstruidas se muestran en la columna F; los puntos intermedios de la columna C son una proyección matemática, no avances observados.</t>
  </si>
  <si>
    <t>DUCO ASISTE | SPRINT 2 — CONTROL BURNDOWN</t>
  </si>
  <si>
    <t>SPRINT 2 | DETALLE DE TAREAS Y AVANCE REGISTRADO</t>
  </si>
  <si>
    <t>E2-H1-T01</t>
  </si>
  <si>
    <t>Configurar conexión del asistente con el servicio local de Ollama</t>
  </si>
  <si>
    <t>E2-H1-T02</t>
  </si>
  <si>
    <t>Integrar envío de consultas al modelo de inteligencia artificial</t>
  </si>
  <si>
    <t>E2-H1-T03</t>
  </si>
  <si>
    <t>Procesar y mostrar respuestas de IA en el chat</t>
  </si>
  <si>
    <t>E2-H1-T04</t>
  </si>
  <si>
    <t>Gestionar indisponibilidad del servicio de Ollama</t>
  </si>
  <si>
    <t>E1-H2-T01</t>
  </si>
  <si>
    <t>Implementar almacenamiento temporal del historial con Session Storage</t>
  </si>
  <si>
    <t>E1-H2-T02</t>
  </si>
  <si>
    <t>Recuperar y mantener visibles los mensajes de la sesión</t>
  </si>
  <si>
    <t>E1-H2-T03</t>
  </si>
  <si>
    <t>Incorporar contexto previo en consultas relacionadas</t>
  </si>
  <si>
    <t>E1-H2-T04</t>
  </si>
  <si>
    <t>Reiniciar el historial al comenzar una nueva sesión</t>
  </si>
  <si>
    <t>DUCO ASISTE | SPRINT 3 — CONTROL BURNDOWN</t>
  </si>
  <si>
    <t>SPRINT 3 | DETALLE DE TAREAS Y AVANCE REGISTRADO</t>
  </si>
  <si>
    <t>E3-H1-T01</t>
  </si>
  <si>
    <t>Identificar secciones del sitio relacionadas con la consulta</t>
  </si>
  <si>
    <t>E3-H1-T02</t>
  </si>
  <si>
    <t>Implementar desplazamiento hacia la sección identificada</t>
  </si>
  <si>
    <t>E3-H1-T03</t>
  </si>
  <si>
    <t>Abrir menús requeridos para acceder al contenido</t>
  </si>
  <si>
    <t>E3-H1-T04</t>
  </si>
  <si>
    <t>Gestionar casos en que no se identifique una sección</t>
  </si>
  <si>
    <t>E3-H2-T01</t>
  </si>
  <si>
    <t>Implementar resaltado visual del contenido localizado</t>
  </si>
  <si>
    <t>E3-H2-T02</t>
  </si>
  <si>
    <t>Actualizar el resaltado al cambiar la consulta</t>
  </si>
  <si>
    <t>E3-H2-T03</t>
  </si>
  <si>
    <t>Gestionar consultas sin contenido visible para resaltar</t>
  </si>
  <si>
    <t>E3-H2-T04</t>
  </si>
  <si>
    <t>Mantener visible el contenido resaltado después de la navegación</t>
  </si>
  <si>
    <t>E3-H3-T01</t>
  </si>
  <si>
    <t>Implementar interacción con elementos de navegación identificados</t>
  </si>
  <si>
    <t>E3-H3-T02</t>
  </si>
  <si>
    <t>Implementar apertura y cierre controlado de menús</t>
  </si>
  <si>
    <t>E3-H3-T03</t>
  </si>
  <si>
    <t>Validar disponibilidad de elementos antes de ejecutar acciones</t>
  </si>
  <si>
    <t>E3-H3-T04</t>
  </si>
  <si>
    <t>Gestionar errores cuando un elemento no esté disponible</t>
  </si>
  <si>
    <t>DUCO ASISTE | SPRINT 4 — CONTROL BURNDOWN</t>
  </si>
  <si>
    <t>SPRINT 4 | DETALLE DE TAREAS Y AVANCE REGISTRADO</t>
  </si>
  <si>
    <t>E2-H2-T01</t>
  </si>
  <si>
    <t>Detectar consultas ambiguas o no reconocidas</t>
  </si>
  <si>
    <t>E2-H2-T02</t>
  </si>
  <si>
    <t>Implementar solicitud de aclaración o reformulación</t>
  </si>
  <si>
    <t>E2-H2-T03</t>
  </si>
  <si>
    <t>Procesar nuevamente la consulta con la aclaración del usuario</t>
  </si>
  <si>
    <t>E2-H2-T04</t>
  </si>
  <si>
    <t>Informar cuando no exista información suficiente para responder</t>
  </si>
  <si>
    <t>E4-H2-T01</t>
  </si>
  <si>
    <t>Preparar casos de prueba a partir de los criterios de aceptación</t>
  </si>
  <si>
    <t>E4-H2-T02</t>
  </si>
  <si>
    <t>Ejecutar pruebas funcionales de las historias implementadas</t>
  </si>
  <si>
    <t>E4-H2-T03</t>
  </si>
  <si>
    <t>Registrar incidencias, correcciones y repruebas</t>
  </si>
  <si>
    <t>E4-H2-T04</t>
  </si>
  <si>
    <t>Consolidar evidencias de pruebas y validación final</t>
  </si>
  <si>
    <t>DUCO ASISTE | FUENTES Y LIMITACIONES DEL BURNDOWN</t>
  </si>
  <si>
    <t>Fuente</t>
  </si>
  <si>
    <t>Dato aportado</t>
  </si>
  <si>
    <t>Qué permite comprobar</t>
  </si>
  <si>
    <t>Limitación</t>
  </si>
  <si>
    <t>Kanban_Duco_Asiste_4_Sprints.xlsm</t>
  </si>
  <si>
    <t>Estado de 36 tareas</t>
  </si>
  <si>
    <t>10 terminadas y 26 pendientes; cierre por sprint</t>
  </si>
  <si>
    <t>No indica el día exacto del cierre de cada tarea.</t>
  </si>
  <si>
    <t>Sprint_Backlog_Duco_4_Sprints.xlsm</t>
  </si>
  <si>
    <t>Estimaciones por tarea</t>
  </si>
  <si>
    <t>212 horas estimadas; distribución 44/54/66/48</t>
  </si>
  <si>
    <t>La estimación no equivale a horas trabajadas.</t>
  </si>
  <si>
    <t>Daily_Standup_Duco_4_Sprints.xlsx</t>
  </si>
  <si>
    <t>Notas de avance por día</t>
  </si>
  <si>
    <t>Actividades abordadas y compromisos del equipo</t>
  </si>
  <si>
    <t>No contiene mediciones horarias diarias ni finalizaciones explícitas.</t>
  </si>
  <si>
    <t>Registro futuro del equipo</t>
  </si>
  <si>
    <t>Horas y finalizaciones verificadas</t>
  </si>
  <si>
    <t>Completar curva de trabajo restante observado</t>
  </si>
  <si>
    <t>Solo añadir cuando exista evidencia contrastable.</t>
  </si>
  <si>
    <t>Actualización: los valores diarios de horas trabajadas se propusieron como reconstrucción y el usuario confirmó usarlos. No se dispone de registro contemporáneo para validar cada día.</t>
  </si>
  <si>
    <t>DUCO ASISTE | AVANCE REGISTRADO POR TAREA</t>
  </si>
  <si>
    <t>Fuente: Kanban original. Horas = estimación de cada tarea, NO horas efectivamente trabajadas. Estado conocido al revisar el tablero; no hay fecha exacta de terminación.</t>
  </si>
  <si>
    <t>Historia</t>
  </si>
  <si>
    <t>ID tarea</t>
  </si>
  <si>
    <t>Horas estimadas</t>
  </si>
  <si>
    <t>Horas estimadas terminadas</t>
  </si>
  <si>
    <t>E4-H1</t>
  </si>
  <si>
    <t>E1-H1</t>
  </si>
  <si>
    <t>E2-H1</t>
  </si>
  <si>
    <t>E1-H2</t>
  </si>
  <si>
    <t>E3-H1</t>
  </si>
  <si>
    <t>E3-H2</t>
  </si>
  <si>
    <t>E3-H3</t>
  </si>
  <si>
    <t>E2-H2</t>
  </si>
  <si>
    <t>E4-H2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</si>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</sst>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Carlito"/>
    </font>
    <font>
      <b/>
      <sz val="16"/>
      <color rgb="FFFFFFFF"/>
      <name val="Carlito"/>
    </font>
    <font>
      <sz val="10"/>
      <color rgb="FF315779"/>
      <name val="Carlito"/>
    </font>
    <font>
      <b/>
      <sz val="10"/>
      <color rgb="FFFFFFFF"/>
      <name val="Carlito"/>
    </font>
    <font>
      <b/>
      <sz val="11"/>
      <color rgb="FF173B5D"/>
      <name val="Carlito"/>
    </font>
    <font>
      <sz val="11"/>
      <color rgb="FF253B4B"/>
      <name val="Carlito"/>
    </font>
    <font>
      <sz val="10"/>
      <color rgb="FF765018"/>
      <name val="Carlito"/>
    </font>
    <font>
      <b/>
      <sz val="14"/>
      <color rgb="FFFFFFFF"/>
      <name val="Carlito"/>
    </font>
    <font>
      <sz val="11"/>
      <color rgb="FF173B5D"/>
      <name val="Carlito"/>
    </font>
    <font>
      <sz val="10"/>
      <color rgb="FF253B4B"/>
      <name val="Carlito"/>
    </font>
    <font>
      <b/>
      <sz val="10"/>
      <color rgb="FF17634B"/>
      <name val="Carlito"/>
    </font>
    <font>
      <b/>
      <sz val="10"/>
      <color rgb="FF173B5D"/>
      <name val="Carlito"/>
    </font>
    <font>
      <b/>
      <sz val="11"/>
      <color rgb="FFFFFFFF"/>
      <name val="Carlito"/>
    </font>
    <font>
      <sz val="10"/>
      <color rgb="FF233B4E"/>
      <name val="Carlito"/>
    </font>
    <font>
      <b/>
      <sz val="15"/>
      <color rgb="FFFFFFFF"/>
      <name val="Carlito"/>
    </font>
    <font>
      <b/>
      <sz val="12"/>
      <color rgb="FFFFFFFF"/>
      <name val="Carlito"/>
    </font>
    <font>
      <b/>
      <sz val="11"/>
      <color rgb="FF17634B"/>
      <name val="Carlito"/>
    </font>
    <font>
      <sz val="10"/>
      <color rgb="FF704A11"/>
      <name val="Carlito"/>
    </font>
    <font>
      <sz val="9"/>
      <color rgb="FF315779"/>
      <name val="Carlito"/>
    </font>
    <font>
      <b/>
      <sz val="10"/>
      <color rgb="FF315779"/>
      <name val="Carlito"/>
    </font>
  </fonts>
  <fills count="26">
    <fill>
      <patternFill patternType="none"/>
    </fill>
    <fill>
      <patternFill patternType="gray125"/>
    </fill>
    <fill>
      <patternFill patternType="solid">
        <fgColor rgb="FF173B5D"/>
      </patternFill>
    </fill>
    <fill>
      <patternFill patternType="solid">
        <fgColor rgb="FFEAF2F8"/>
      </patternFill>
    </fill>
    <fill>
      <patternFill patternType="solid">
        <fgColor rgb="FF245E87"/>
      </patternFill>
    </fill>
    <fill>
      <patternFill patternType="solid">
        <fgColor rgb="FFDCEAF6"/>
      </patternFill>
    </fill>
    <fill>
      <patternFill patternType="solid">
        <fgColor rgb="FFFFF2D8"/>
      </patternFill>
    </fill>
    <fill>
      <patternFill patternType="solid">
        <fgColor rgb="FFF2F6FA"/>
      </patternFill>
    </fill>
    <fill>
      <patternFill patternType="solid">
        <fgColor rgb="FFDCEAF6"/>
      </patternFill>
    </fill>
    <fill>
      <patternFill patternType="solid">
        <fgColor rgb="FF173B5D"/>
      </patternFill>
    </fill>
    <fill>
      <patternFill patternType="solid">
        <fgColor rgb="FF28618A"/>
      </patternFill>
    </fill>
    <fill>
      <patternFill patternType="solid">
        <fgColor rgb="FF173B5D"/>
      </patternFill>
    </fill>
    <fill>
      <patternFill patternType="solid">
        <fgColor rgb="FFEAF2F8"/>
      </patternFill>
    </fill>
    <fill>
      <patternFill patternType="solid">
        <fgColor rgb="FF245E87"/>
      </patternFill>
    </fill>
    <fill>
      <patternFill patternType="solid">
        <fgColor rgb="FFDCEAF6"/>
      </patternFill>
    </fill>
    <fill>
      <patternFill patternType="solid">
        <fgColor rgb="FFD8F1E6"/>
      </patternFill>
    </fill>
    <fill>
      <patternFill patternType="solid">
        <fgColor rgb="FFFFF0D6"/>
      </patternFill>
    </fill>
    <fill>
      <patternFill patternType="solid">
        <fgColor rgb="FFEAF2F8"/>
      </patternFill>
    </fill>
    <fill>
      <patternFill patternType="solid">
        <fgColor rgb="FFD8F1E6"/>
      </patternFill>
    </fill>
    <fill>
      <patternFill patternType="solid">
        <fgColor rgb="FFDCEAF6"/>
      </patternFill>
    </fill>
    <fill>
      <patternFill patternType="solid">
        <fgColor rgb="FFD8F1E6"/>
      </patternFill>
    </fill>
    <fill>
      <patternFill patternType="solid">
        <fgColor rgb="FF245E87"/>
      </patternFill>
    </fill>
    <fill>
      <patternFill patternType="solid">
        <fgColor rgb="FFFFF1D6"/>
      </patternFill>
    </fill>
    <fill>
      <patternFill patternType="solid">
        <fgColor rgb="FFDCEAF6"/>
      </patternFill>
    </fill>
    <fill>
      <patternFill patternType="solid">
        <fgColor rgb="FFEAF2F8"/>
      </patternFill>
    </fill>
    <fill>
      <patternFill patternType="solid">
        <fgColor rgb="FF245E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/>
    <xf numFmtId="0" fontId="5" fillId="0" borderId="0" xfId="0" applyNumberFormat="1" applyFont="1" applyFill="1" applyBorder="1"/>
    <xf numFmtId="0" fontId="4" fillId="5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9" fillId="0" borderId="0" xfId="0" applyNumberFormat="1" applyFont="1" applyFill="1" applyBorder="1"/>
    <xf numFmtId="0" fontId="9" fillId="7" borderId="0" xfId="0" applyNumberFormat="1" applyFont="1" applyFill="1" applyBorder="1"/>
    <xf numFmtId="0" fontId="12" fillId="10" borderId="0" xfId="0" applyNumberFormat="1" applyFont="1" applyFill="1" applyBorder="1" applyAlignment="1">
      <alignment wrapText="1"/>
    </xf>
    <xf numFmtId="0" fontId="13" fillId="0" borderId="0" xfId="0" applyNumberFormat="1" applyFont="1" applyFill="1" applyBorder="1" applyAlignment="1">
      <alignment wrapText="1"/>
    </xf>
    <xf numFmtId="0" fontId="3" fillId="13" borderId="0" xfId="0" applyNumberFormat="1" applyFont="1" applyFill="1" applyBorder="1" applyAlignment="1">
      <alignment wrapText="1"/>
    </xf>
    <xf numFmtId="0" fontId="4" fillId="14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9" fillId="16" borderId="0" xfId="0" applyNumberFormat="1" applyFont="1" applyFill="1" applyBorder="1"/>
    <xf numFmtId="0" fontId="9" fillId="17" borderId="0" xfId="0" applyNumberFormat="1" applyFont="1" applyFill="1" applyBorder="1"/>
    <xf numFmtId="0" fontId="10" fillId="18" borderId="0" xfId="0" applyNumberFormat="1" applyFont="1" applyFill="1" applyBorder="1"/>
    <xf numFmtId="0" fontId="9" fillId="20" borderId="0" xfId="0" applyNumberFormat="1" applyFont="1" applyFill="1" applyBorder="1"/>
    <xf numFmtId="0" fontId="12" fillId="21" borderId="0" xfId="0" applyNumberFormat="1" applyFont="1" applyFill="1" applyBorder="1" applyAlignment="1">
      <alignment wrapText="1"/>
    </xf>
    <xf numFmtId="0" fontId="4" fillId="19" borderId="0" xfId="0" applyNumberFormat="1" applyFont="1" applyFill="1" applyBorder="1"/>
    <xf numFmtId="0" fontId="3" fillId="25" borderId="0" xfId="0" applyNumberFormat="1" applyFont="1" applyFill="1" applyBorder="1" applyAlignment="1">
      <alignment wrapText="1"/>
    </xf>
    <xf numFmtId="0" fontId="17" fillId="2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6" fillId="6" borderId="0" xfId="0" applyNumberFormat="1" applyFont="1" applyFill="1" applyBorder="1" applyAlignment="1">
      <alignment wrapText="1"/>
    </xf>
    <xf numFmtId="0" fontId="16" fillId="15" borderId="0" xfId="0" applyNumberFormat="1" applyFont="1" applyFill="1" applyBorder="1" applyAlignment="1">
      <alignment wrapText="1"/>
    </xf>
    <xf numFmtId="0" fontId="19" fillId="24" borderId="0" xfId="0" applyNumberFormat="1" applyFont="1" applyFill="1" applyBorder="1" applyAlignment="1">
      <alignment wrapText="1"/>
    </xf>
    <xf numFmtId="0" fontId="15" fillId="13" borderId="0" xfId="0" applyNumberFormat="1" applyFont="1" applyFill="1" applyBorder="1"/>
    <xf numFmtId="0" fontId="18" fillId="24" borderId="0" xfId="0" applyNumberFormat="1" applyFont="1" applyFill="1" applyBorder="1" applyAlignment="1">
      <alignment wrapText="1"/>
    </xf>
    <xf numFmtId="0" fontId="11" fillId="23" borderId="0" xfId="0" applyNumberFormat="1" applyFont="1" applyFill="1" applyBorder="1" applyAlignment="1">
      <alignment wrapText="1"/>
    </xf>
    <xf numFmtId="0" fontId="7" fillId="2" borderId="0" xfId="0" applyNumberFormat="1" applyFont="1" applyFill="1" applyBorder="1"/>
    <xf numFmtId="0" fontId="11" fillId="8" borderId="0" xfId="0" applyNumberFormat="1" applyFont="1" applyFill="1" applyBorder="1" applyAlignment="1">
      <alignment wrapText="1"/>
    </xf>
    <xf numFmtId="0" fontId="11" fillId="5" borderId="0" xfId="0" applyNumberFormat="1" applyFont="1" applyFill="1" applyBorder="1" applyAlignment="1">
      <alignment wrapText="1"/>
    </xf>
    <xf numFmtId="0" fontId="7" fillId="9" borderId="0" xfId="0" applyNumberFormat="1" applyFont="1" applyFill="1" applyBorder="1"/>
    <xf numFmtId="0" fontId="14" fillId="11" borderId="0" xfId="0" applyNumberFormat="1" applyFont="1" applyFill="1" applyBorder="1"/>
    <xf numFmtId="0" fontId="2" fillId="12" borderId="0" xfId="0" applyNumberFormat="1" applyFont="1" applyFill="1" applyBorder="1" applyAlignment="1">
      <alignment wrapText="1"/>
    </xf>
    <xf numFmtId="0" fontId="4" fillId="1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Trabajo restante ideal</c:v>
          </c:tx>
          <c:marker>
            <c:symbol val="none"/>
          </c:marker>
          <c:cat>
            <c:numRef>
              <c:f>'Sprint 1'!$A$11:$A$31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'Sprint 1'!$B$11:$B$31</c:f>
              <c:numCache>
                <c:formatCode>General</c:formatCode>
                <c:ptCount val="21"/>
                <c:pt idx="0">
                  <c:v>44</c:v>
                </c:pt>
                <c:pt idx="1">
                  <c:v>41.8</c:v>
                </c:pt>
                <c:pt idx="2">
                  <c:v>39.6</c:v>
                </c:pt>
                <c:pt idx="3">
                  <c:v>37.4</c:v>
                </c:pt>
                <c:pt idx="4">
                  <c:v>35.200000000000003</c:v>
                </c:pt>
                <c:pt idx="5">
                  <c:v>33</c:v>
                </c:pt>
                <c:pt idx="6">
                  <c:v>30.8</c:v>
                </c:pt>
                <c:pt idx="7">
                  <c:v>28.6</c:v>
                </c:pt>
                <c:pt idx="8">
                  <c:v>26.4</c:v>
                </c:pt>
                <c:pt idx="9">
                  <c:v>24.2</c:v>
                </c:pt>
                <c:pt idx="10">
                  <c:v>22</c:v>
                </c:pt>
                <c:pt idx="11">
                  <c:v>19.8</c:v>
                </c:pt>
                <c:pt idx="12">
                  <c:v>17.600000000000001</c:v>
                </c:pt>
                <c:pt idx="13">
                  <c:v>15.4</c:v>
                </c:pt>
                <c:pt idx="14">
                  <c:v>13.2</c:v>
                </c:pt>
                <c:pt idx="15">
                  <c:v>11</c:v>
                </c:pt>
                <c:pt idx="16">
                  <c:v>8.8000000000000007</c:v>
                </c:pt>
                <c:pt idx="17">
                  <c:v>6.6</c:v>
                </c:pt>
                <c:pt idx="18">
                  <c:v>4.4000000000000004</c:v>
                </c:pt>
                <c:pt idx="19">
                  <c:v>2.2000000000000002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9-41EE-88AC-94352C4B0B42}"/>
            </c:ext>
          </c:extLst>
        </c:ser>
        <c:ser>
          <c:idx val="1"/>
          <c:order val="1"/>
          <c:tx>
            <c:v>Proyección referencial (no real)</c:v>
          </c:tx>
          <c:marker>
            <c:symbol val="none"/>
          </c:marker>
          <c:cat>
            <c:numRef>
              <c:f>'Sprint 1'!$A$11:$A$31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'Sprint 1'!$C$11:$C$31</c:f>
              <c:numCache>
                <c:formatCode>General</c:formatCode>
                <c:ptCount val="21"/>
                <c:pt idx="0">
                  <c:v>44</c:v>
                </c:pt>
                <c:pt idx="1">
                  <c:v>43.5</c:v>
                </c:pt>
                <c:pt idx="2">
                  <c:v>43</c:v>
                </c:pt>
                <c:pt idx="3">
                  <c:v>42.5</c:v>
                </c:pt>
                <c:pt idx="4">
                  <c:v>42</c:v>
                </c:pt>
                <c:pt idx="5">
                  <c:v>41.5</c:v>
                </c:pt>
                <c:pt idx="6">
                  <c:v>41</c:v>
                </c:pt>
                <c:pt idx="7">
                  <c:v>40.5</c:v>
                </c:pt>
                <c:pt idx="8">
                  <c:v>40</c:v>
                </c:pt>
                <c:pt idx="9">
                  <c:v>39.5</c:v>
                </c:pt>
                <c:pt idx="10">
                  <c:v>39</c:v>
                </c:pt>
                <c:pt idx="11">
                  <c:v>38.5</c:v>
                </c:pt>
                <c:pt idx="12">
                  <c:v>38</c:v>
                </c:pt>
                <c:pt idx="13">
                  <c:v>37.5</c:v>
                </c:pt>
                <c:pt idx="14">
                  <c:v>37</c:v>
                </c:pt>
                <c:pt idx="15">
                  <c:v>36.5</c:v>
                </c:pt>
                <c:pt idx="16">
                  <c:v>36</c:v>
                </c:pt>
                <c:pt idx="17">
                  <c:v>35.5</c:v>
                </c:pt>
                <c:pt idx="18">
                  <c:v>35</c:v>
                </c:pt>
                <c:pt idx="19">
                  <c:v>34.5</c:v>
                </c:pt>
                <c:pt idx="2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39-41EE-88AC-94352C4B0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Trabajo restante ideal</c:v>
          </c:tx>
          <c:marker>
            <c:symbol val="none"/>
          </c:marker>
          <c:cat>
            <c:numRef>
              <c:f>'Sprint 2'!$A$11:$A$31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'Sprint 2'!$B$11:$B$31</c:f>
              <c:numCache>
                <c:formatCode>General</c:formatCode>
                <c:ptCount val="21"/>
                <c:pt idx="0">
                  <c:v>54</c:v>
                </c:pt>
                <c:pt idx="1">
                  <c:v>51.3</c:v>
                </c:pt>
                <c:pt idx="2">
                  <c:v>48.6</c:v>
                </c:pt>
                <c:pt idx="3">
                  <c:v>45.9</c:v>
                </c:pt>
                <c:pt idx="4">
                  <c:v>43.2</c:v>
                </c:pt>
                <c:pt idx="5">
                  <c:v>40.5</c:v>
                </c:pt>
                <c:pt idx="6">
                  <c:v>37.799999999999997</c:v>
                </c:pt>
                <c:pt idx="7">
                  <c:v>35.1</c:v>
                </c:pt>
                <c:pt idx="8">
                  <c:v>32.4</c:v>
                </c:pt>
                <c:pt idx="9">
                  <c:v>29.7</c:v>
                </c:pt>
                <c:pt idx="10">
                  <c:v>27</c:v>
                </c:pt>
                <c:pt idx="11">
                  <c:v>24.3</c:v>
                </c:pt>
                <c:pt idx="12">
                  <c:v>21.6</c:v>
                </c:pt>
                <c:pt idx="13">
                  <c:v>18.899999999999999</c:v>
                </c:pt>
                <c:pt idx="14">
                  <c:v>16.2</c:v>
                </c:pt>
                <c:pt idx="15">
                  <c:v>13.5</c:v>
                </c:pt>
                <c:pt idx="16">
                  <c:v>10.8</c:v>
                </c:pt>
                <c:pt idx="17">
                  <c:v>8.1</c:v>
                </c:pt>
                <c:pt idx="18">
                  <c:v>5.4</c:v>
                </c:pt>
                <c:pt idx="19">
                  <c:v>2.7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E-42FD-9BE9-92C2E02B80C4}"/>
            </c:ext>
          </c:extLst>
        </c:ser>
        <c:ser>
          <c:idx val="1"/>
          <c:order val="1"/>
          <c:tx>
            <c:v>Proyección referencial (no real)</c:v>
          </c:tx>
          <c:marker>
            <c:symbol val="none"/>
          </c:marker>
          <c:cat>
            <c:numRef>
              <c:f>'Sprint 2'!$A$11:$A$31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'Sprint 2'!$C$11:$C$31</c:f>
              <c:numCache>
                <c:formatCode>General</c:formatCode>
                <c:ptCount val="21"/>
                <c:pt idx="0">
                  <c:v>54</c:v>
                </c:pt>
                <c:pt idx="1">
                  <c:v>52</c:v>
                </c:pt>
                <c:pt idx="2">
                  <c:v>50</c:v>
                </c:pt>
                <c:pt idx="3">
                  <c:v>48</c:v>
                </c:pt>
                <c:pt idx="4">
                  <c:v>46</c:v>
                </c:pt>
                <c:pt idx="5">
                  <c:v>44</c:v>
                </c:pt>
                <c:pt idx="6">
                  <c:v>42</c:v>
                </c:pt>
                <c:pt idx="7">
                  <c:v>40</c:v>
                </c:pt>
                <c:pt idx="8">
                  <c:v>38</c:v>
                </c:pt>
                <c:pt idx="9">
                  <c:v>36</c:v>
                </c:pt>
                <c:pt idx="10">
                  <c:v>34</c:v>
                </c:pt>
                <c:pt idx="11">
                  <c:v>32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24</c:v>
                </c:pt>
                <c:pt idx="16">
                  <c:v>22</c:v>
                </c:pt>
                <c:pt idx="17">
                  <c:v>20</c:v>
                </c:pt>
                <c:pt idx="18">
                  <c:v>18</c:v>
                </c:pt>
                <c:pt idx="19">
                  <c:v>16</c:v>
                </c:pt>
                <c:pt idx="2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8E-42FD-9BE9-92C2E02B8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Trabajo restante ideal</c:v>
          </c:tx>
          <c:marker>
            <c:symbol val="none"/>
          </c:marker>
          <c:cat>
            <c:numRef>
              <c:f>'Sprint 3'!$A$11:$A$31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'Sprint 3'!$B$11:$B$31</c:f>
              <c:numCache>
                <c:formatCode>General</c:formatCode>
                <c:ptCount val="21"/>
                <c:pt idx="0">
                  <c:v>66</c:v>
                </c:pt>
                <c:pt idx="1">
                  <c:v>62.7</c:v>
                </c:pt>
                <c:pt idx="2">
                  <c:v>59.4</c:v>
                </c:pt>
                <c:pt idx="3">
                  <c:v>56.1</c:v>
                </c:pt>
                <c:pt idx="4">
                  <c:v>52.8</c:v>
                </c:pt>
                <c:pt idx="5">
                  <c:v>49.5</c:v>
                </c:pt>
                <c:pt idx="6">
                  <c:v>46.2</c:v>
                </c:pt>
                <c:pt idx="7">
                  <c:v>42.9</c:v>
                </c:pt>
                <c:pt idx="8">
                  <c:v>39.6</c:v>
                </c:pt>
                <c:pt idx="9">
                  <c:v>36.299999999999997</c:v>
                </c:pt>
                <c:pt idx="10">
                  <c:v>33</c:v>
                </c:pt>
                <c:pt idx="11">
                  <c:v>29.7</c:v>
                </c:pt>
                <c:pt idx="12">
                  <c:v>26.4</c:v>
                </c:pt>
                <c:pt idx="13">
                  <c:v>23.1</c:v>
                </c:pt>
                <c:pt idx="14">
                  <c:v>19.8</c:v>
                </c:pt>
                <c:pt idx="15">
                  <c:v>16.5</c:v>
                </c:pt>
                <c:pt idx="16">
                  <c:v>13.2</c:v>
                </c:pt>
                <c:pt idx="17">
                  <c:v>9.9</c:v>
                </c:pt>
                <c:pt idx="18">
                  <c:v>6.6</c:v>
                </c:pt>
                <c:pt idx="19">
                  <c:v>3.3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4-4060-9C46-EEB6C12255F5}"/>
            </c:ext>
          </c:extLst>
        </c:ser>
        <c:ser>
          <c:idx val="1"/>
          <c:order val="1"/>
          <c:tx>
            <c:v>Proyección referencial (no real)</c:v>
          </c:tx>
          <c:marker>
            <c:symbol val="none"/>
          </c:marker>
          <c:cat>
            <c:numRef>
              <c:f>'Sprint 3'!$A$11:$A$31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'Sprint 3'!$C$11:$C$31</c:f>
              <c:numCache>
                <c:formatCode>General</c:formatCode>
                <c:ptCount val="21"/>
                <c:pt idx="0">
                  <c:v>66</c:v>
                </c:pt>
                <c:pt idx="1">
                  <c:v>65.3</c:v>
                </c:pt>
                <c:pt idx="2">
                  <c:v>64.599999999999994</c:v>
                </c:pt>
                <c:pt idx="3">
                  <c:v>63.9</c:v>
                </c:pt>
                <c:pt idx="4">
                  <c:v>63.2</c:v>
                </c:pt>
                <c:pt idx="5">
                  <c:v>62.5</c:v>
                </c:pt>
                <c:pt idx="6">
                  <c:v>61.8</c:v>
                </c:pt>
                <c:pt idx="7">
                  <c:v>61.1</c:v>
                </c:pt>
                <c:pt idx="8">
                  <c:v>60.4</c:v>
                </c:pt>
                <c:pt idx="9">
                  <c:v>59.7</c:v>
                </c:pt>
                <c:pt idx="10">
                  <c:v>59</c:v>
                </c:pt>
                <c:pt idx="11">
                  <c:v>58.3</c:v>
                </c:pt>
                <c:pt idx="12">
                  <c:v>57.6</c:v>
                </c:pt>
                <c:pt idx="13">
                  <c:v>56.9</c:v>
                </c:pt>
                <c:pt idx="14">
                  <c:v>56.2</c:v>
                </c:pt>
                <c:pt idx="15">
                  <c:v>55.5</c:v>
                </c:pt>
                <c:pt idx="16">
                  <c:v>54.8</c:v>
                </c:pt>
                <c:pt idx="17">
                  <c:v>54.1</c:v>
                </c:pt>
                <c:pt idx="18">
                  <c:v>53.4</c:v>
                </c:pt>
                <c:pt idx="19">
                  <c:v>52.7</c:v>
                </c:pt>
                <c:pt idx="2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4-4060-9C46-EEB6C1225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Trabajo restante ideal</c:v>
          </c:tx>
          <c:marker>
            <c:symbol val="none"/>
          </c:marker>
          <c:cat>
            <c:numRef>
              <c:f>'Sprint 4'!$A$11:$A$31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'Sprint 4'!$B$11:$B$31</c:f>
              <c:numCache>
                <c:formatCode>General</c:formatCode>
                <c:ptCount val="21"/>
                <c:pt idx="0">
                  <c:v>48</c:v>
                </c:pt>
                <c:pt idx="1">
                  <c:v>45.6</c:v>
                </c:pt>
                <c:pt idx="2">
                  <c:v>43.2</c:v>
                </c:pt>
                <c:pt idx="3">
                  <c:v>40.799999999999997</c:v>
                </c:pt>
                <c:pt idx="4">
                  <c:v>38.4</c:v>
                </c:pt>
                <c:pt idx="5">
                  <c:v>36</c:v>
                </c:pt>
                <c:pt idx="6">
                  <c:v>33.6</c:v>
                </c:pt>
                <c:pt idx="7">
                  <c:v>31.2</c:v>
                </c:pt>
                <c:pt idx="8">
                  <c:v>28.8</c:v>
                </c:pt>
                <c:pt idx="9">
                  <c:v>26.4</c:v>
                </c:pt>
                <c:pt idx="10">
                  <c:v>24</c:v>
                </c:pt>
                <c:pt idx="11">
                  <c:v>21.6</c:v>
                </c:pt>
                <c:pt idx="12">
                  <c:v>19.2</c:v>
                </c:pt>
                <c:pt idx="13">
                  <c:v>16.8</c:v>
                </c:pt>
                <c:pt idx="14">
                  <c:v>14.4</c:v>
                </c:pt>
                <c:pt idx="15">
                  <c:v>12</c:v>
                </c:pt>
                <c:pt idx="16">
                  <c:v>9.6</c:v>
                </c:pt>
                <c:pt idx="17">
                  <c:v>7.2</c:v>
                </c:pt>
                <c:pt idx="18">
                  <c:v>4.8</c:v>
                </c:pt>
                <c:pt idx="19">
                  <c:v>2.4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0-482A-B900-D5D034C9AC0B}"/>
            </c:ext>
          </c:extLst>
        </c:ser>
        <c:ser>
          <c:idx val="1"/>
          <c:order val="1"/>
          <c:tx>
            <c:v>Proyección referencial (no real)</c:v>
          </c:tx>
          <c:marker>
            <c:symbol val="none"/>
          </c:marker>
          <c:cat>
            <c:numRef>
              <c:f>'Sprint 4'!$A$11:$A$31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'Sprint 4'!$C$11:$C$31</c:f>
              <c:numCache>
                <c:formatCode>General</c:formatCode>
                <c:ptCount val="2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0-482A-B900-D5D034C9A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0</xdr:rowOff>
    </xdr:from>
    <xdr:to>
      <xdr:col>7</xdr:col>
      <xdr:colOff>0</xdr:colOff>
      <xdr:row>70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0</xdr:rowOff>
    </xdr:from>
    <xdr:to>
      <xdr:col>7</xdr:col>
      <xdr:colOff>0</xdr:colOff>
      <xdr:row>70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</xdr:row>
      <xdr:rowOff>0</xdr:rowOff>
    </xdr:from>
    <xdr:to>
      <xdr:col>7</xdr:col>
      <xdr:colOff>0</xdr:colOff>
      <xdr:row>74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0</xdr:rowOff>
    </xdr:from>
    <xdr:to>
      <xdr:col>7</xdr:col>
      <xdr:colOff>0</xdr:colOff>
      <xdr:row>70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pane ySplit="4" topLeftCell="A5" activePane="bottomLeft" state="frozen"/>
      <selection pane="bottomLeft" activeCell="A11" sqref="A11:F11"/>
    </sheetView>
  </sheetViews>
  <sheetFormatPr baseColWidth="10" defaultColWidth="8.796875" defaultRowHeight="13.8"/>
  <cols>
    <col min="1" max="1" width="20" customWidth="1"/>
    <col min="2" max="2" width="31" customWidth="1"/>
    <col min="3" max="3" width="41" customWidth="1"/>
    <col min="4" max="4" width="20" customWidth="1"/>
    <col min="5" max="5" width="30" customWidth="1"/>
    <col min="6" max="6" width="34" customWidth="1"/>
  </cols>
  <sheetData>
    <row r="1" spans="1:6" ht="45" customHeight="1">
      <c r="A1" s="21" t="s">
        <v>0</v>
      </c>
      <c r="B1" s="21"/>
      <c r="C1" s="21"/>
      <c r="D1" s="21"/>
      <c r="E1" s="21"/>
      <c r="F1" s="21"/>
    </row>
    <row r="2" spans="1:6" ht="39" customHeight="1">
      <c r="A2" s="22" t="s">
        <v>1</v>
      </c>
      <c r="B2" s="22"/>
      <c r="C2" s="22"/>
      <c r="D2" s="22"/>
      <c r="E2" s="22"/>
      <c r="F2" s="22"/>
    </row>
    <row r="4" spans="1:6" ht="40.049999999999997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8.95" customHeight="1">
      <c r="A5" s="3" t="s">
        <v>8</v>
      </c>
      <c r="B5" s="3">
        <v>8</v>
      </c>
      <c r="C5" s="3">
        <v>2</v>
      </c>
      <c r="D5" s="3">
        <v>6</v>
      </c>
      <c r="E5" s="3">
        <v>44</v>
      </c>
      <c r="F5" s="3">
        <v>34</v>
      </c>
    </row>
    <row r="6" spans="1:6" ht="28.95" customHeight="1">
      <c r="A6" s="3" t="s">
        <v>9</v>
      </c>
      <c r="B6" s="3">
        <v>8</v>
      </c>
      <c r="C6" s="3">
        <v>6</v>
      </c>
      <c r="D6" s="3">
        <v>2</v>
      </c>
      <c r="E6" s="3">
        <v>54</v>
      </c>
      <c r="F6" s="3">
        <v>14</v>
      </c>
    </row>
    <row r="7" spans="1:6" ht="28.95" customHeight="1">
      <c r="A7" s="3" t="s">
        <v>10</v>
      </c>
      <c r="B7" s="3">
        <v>12</v>
      </c>
      <c r="C7" s="3">
        <v>2</v>
      </c>
      <c r="D7" s="3">
        <v>10</v>
      </c>
      <c r="E7" s="3">
        <v>66</v>
      </c>
      <c r="F7" s="3">
        <v>52</v>
      </c>
    </row>
    <row r="8" spans="1:6" ht="28.95" customHeight="1">
      <c r="A8" s="3" t="s">
        <v>11</v>
      </c>
      <c r="B8" s="3">
        <v>8</v>
      </c>
      <c r="C8" s="3">
        <v>0</v>
      </c>
      <c r="D8" s="3">
        <v>8</v>
      </c>
      <c r="E8" s="3">
        <v>48</v>
      </c>
      <c r="F8" s="3">
        <v>48</v>
      </c>
    </row>
    <row r="9" spans="1:6" ht="30" customHeight="1">
      <c r="A9" s="2" t="s">
        <v>12</v>
      </c>
      <c r="B9" s="2">
        <f>SUM(B5:B8)</f>
        <v>36</v>
      </c>
      <c r="C9" s="2">
        <f>SUM(C5:C8)</f>
        <v>10</v>
      </c>
      <c r="D9" s="2">
        <f>SUM(D5:D8)</f>
        <v>26</v>
      </c>
      <c r="E9" s="2">
        <f>SUM(E5:E8)</f>
        <v>212</v>
      </c>
      <c r="F9" s="2">
        <f>SUM(F5:F8)</f>
        <v>148</v>
      </c>
    </row>
    <row r="11" spans="1:6" ht="45" customHeight="1">
      <c r="A11" s="23"/>
      <c r="B11" s="23"/>
      <c r="C11" s="23"/>
      <c r="D11" s="23"/>
      <c r="E11" s="23"/>
      <c r="F11" s="23"/>
    </row>
    <row r="13" spans="1:6" ht="43.95" customHeight="1">
      <c r="A13" s="24" t="s">
        <v>13</v>
      </c>
      <c r="B13" s="24"/>
      <c r="C13" s="24"/>
      <c r="D13" s="24"/>
      <c r="E13" s="24"/>
      <c r="F13" s="24"/>
    </row>
    <row r="15" spans="1:6" ht="64.05" customHeight="1">
      <c r="A15" s="25" t="s">
        <v>14</v>
      </c>
      <c r="B15" s="25"/>
      <c r="C15" s="25"/>
      <c r="D15" s="25"/>
      <c r="E15" s="25"/>
      <c r="F15" s="25"/>
    </row>
    <row r="17" spans="1:6" ht="34.950000000000003" customHeight="1">
      <c r="A17" s="17" t="s">
        <v>2</v>
      </c>
      <c r="B17" s="17" t="s">
        <v>15</v>
      </c>
      <c r="C17" s="17" t="s">
        <v>16</v>
      </c>
    </row>
    <row r="18" spans="1:6">
      <c r="A18" t="s">
        <v>8</v>
      </c>
      <c r="B18">
        <v>12</v>
      </c>
      <c r="C18" t="s">
        <v>17</v>
      </c>
    </row>
    <row r="19" spans="1:6">
      <c r="A19" t="s">
        <v>9</v>
      </c>
      <c r="B19">
        <v>38</v>
      </c>
      <c r="C19" t="s">
        <v>17</v>
      </c>
    </row>
    <row r="20" spans="1:6">
      <c r="A20" t="s">
        <v>10</v>
      </c>
      <c r="B20">
        <v>19</v>
      </c>
      <c r="C20" t="s">
        <v>17</v>
      </c>
    </row>
    <row r="21" spans="1:6">
      <c r="A21" t="s">
        <v>11</v>
      </c>
      <c r="B21">
        <v>12</v>
      </c>
      <c r="C21" t="s">
        <v>17</v>
      </c>
    </row>
    <row r="22" spans="1:6">
      <c r="A22" s="18" t="s">
        <v>12</v>
      </c>
      <c r="B22" s="18">
        <v>81</v>
      </c>
      <c r="C22" s="18"/>
    </row>
    <row r="24" spans="1:6" ht="60" customHeight="1">
      <c r="A24" s="20" t="s">
        <v>18</v>
      </c>
      <c r="B24" s="20"/>
      <c r="C24" s="20"/>
      <c r="D24" s="20"/>
      <c r="E24" s="20"/>
      <c r="F24" s="20"/>
    </row>
  </sheetData>
  <mergeCells count="6">
    <mergeCell ref="A24:F24"/>
    <mergeCell ref="A1:F1"/>
    <mergeCell ref="A2:F2"/>
    <mergeCell ref="A11:F11"/>
    <mergeCell ref="A13:F13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zoomScale="66" workbookViewId="0">
      <pane ySplit="10" topLeftCell="A30" activePane="bottomLeft" state="frozen"/>
      <selection pane="bottomLeft" activeCell="F34" sqref="F34"/>
    </sheetView>
  </sheetViews>
  <sheetFormatPr baseColWidth="10" defaultColWidth="8.796875" defaultRowHeight="13.8"/>
  <cols>
    <col min="1" max="1" width="18" customWidth="1"/>
    <col min="2" max="2" width="27" customWidth="1"/>
    <col min="3" max="3" width="42" customWidth="1"/>
    <col min="4" max="4" width="32" customWidth="1"/>
    <col min="5" max="5" width="41" customWidth="1"/>
    <col min="6" max="6" width="31" customWidth="1"/>
    <col min="7" max="7" width="54" customWidth="1"/>
    <col min="8" max="8" width="13" customWidth="1"/>
  </cols>
  <sheetData>
    <row r="1" spans="1:7" ht="42" customHeight="1">
      <c r="A1" s="29" t="s">
        <v>19</v>
      </c>
      <c r="B1" s="29"/>
      <c r="C1" s="29"/>
      <c r="D1" s="29"/>
      <c r="E1" s="29"/>
      <c r="F1" s="29"/>
    </row>
    <row r="2" spans="1:7" ht="43.95" customHeight="1">
      <c r="A2" s="22" t="s">
        <v>20</v>
      </c>
      <c r="B2" s="22"/>
      <c r="C2" s="22"/>
      <c r="D2" s="22"/>
      <c r="E2" s="22"/>
      <c r="F2" s="22"/>
    </row>
    <row r="4" spans="1:7" ht="30" customHeight="1">
      <c r="A4" s="4" t="s">
        <v>21</v>
      </c>
      <c r="B4" s="5">
        <v>44</v>
      </c>
    </row>
    <row r="5" spans="1:7" ht="30" customHeight="1">
      <c r="A5" s="4" t="s">
        <v>22</v>
      </c>
      <c r="B5" s="5">
        <v>34</v>
      </c>
    </row>
    <row r="6" spans="1:7" ht="30" customHeight="1">
      <c r="A6" s="4" t="s">
        <v>23</v>
      </c>
      <c r="B6" s="5">
        <v>10</v>
      </c>
    </row>
    <row r="7" spans="1:7" ht="30" customHeight="1">
      <c r="A7" s="4" t="s">
        <v>24</v>
      </c>
      <c r="B7" s="5">
        <v>2</v>
      </c>
    </row>
    <row r="10" spans="1:7" ht="67.05" customHeight="1">
      <c r="A10" s="19" t="s">
        <v>25</v>
      </c>
      <c r="B10" s="19" t="s">
        <v>26</v>
      </c>
      <c r="C10" s="19" t="s">
        <v>27</v>
      </c>
      <c r="D10" s="19" t="s">
        <v>28</v>
      </c>
      <c r="E10" s="19" t="s">
        <v>29</v>
      </c>
      <c r="F10" s="19" t="s">
        <v>30</v>
      </c>
      <c r="G10" s="19" t="s">
        <v>31</v>
      </c>
    </row>
    <row r="11" spans="1:7" ht="28.95" customHeight="1">
      <c r="A11" s="6">
        <v>0</v>
      </c>
      <c r="B11" s="6">
        <v>44</v>
      </c>
      <c r="C11" s="15">
        <v>44</v>
      </c>
      <c r="D11" s="14">
        <v>0</v>
      </c>
      <c r="E11" s="14">
        <v>0</v>
      </c>
      <c r="F11" s="16">
        <v>0</v>
      </c>
      <c r="G11" s="6" t="s">
        <v>32</v>
      </c>
    </row>
    <row r="12" spans="1:7" ht="28.95" customHeight="1">
      <c r="A12" s="7">
        <v>1</v>
      </c>
      <c r="B12" s="7">
        <v>41.8</v>
      </c>
      <c r="C12" s="13">
        <v>43.5</v>
      </c>
      <c r="D12" s="14">
        <v>2.2000000000000002</v>
      </c>
      <c r="E12" s="14">
        <v>1.7</v>
      </c>
      <c r="F12" s="16">
        <v>0</v>
      </c>
      <c r="G12" s="6" t="s">
        <v>33</v>
      </c>
    </row>
    <row r="13" spans="1:7" ht="28.95" customHeight="1">
      <c r="A13" s="6">
        <v>2</v>
      </c>
      <c r="B13" s="6">
        <v>39.6</v>
      </c>
      <c r="C13" s="13">
        <v>43</v>
      </c>
      <c r="D13" s="14">
        <v>4.4000000000000004</v>
      </c>
      <c r="E13" s="14">
        <v>3.4</v>
      </c>
      <c r="F13" s="16">
        <v>2</v>
      </c>
      <c r="G13" s="6" t="s">
        <v>33</v>
      </c>
    </row>
    <row r="14" spans="1:7" ht="28.95" customHeight="1">
      <c r="A14" s="7">
        <v>3</v>
      </c>
      <c r="B14" s="7">
        <v>37.4</v>
      </c>
      <c r="C14" s="13">
        <v>42.5</v>
      </c>
      <c r="D14" s="14">
        <v>6.6</v>
      </c>
      <c r="E14" s="14">
        <v>5.0999999999999996</v>
      </c>
      <c r="F14" s="16">
        <v>1</v>
      </c>
      <c r="G14" s="6" t="s">
        <v>33</v>
      </c>
    </row>
    <row r="15" spans="1:7" ht="28.95" customHeight="1">
      <c r="A15" s="6">
        <v>4</v>
      </c>
      <c r="B15" s="6">
        <v>35.200000000000003</v>
      </c>
      <c r="C15" s="13">
        <v>42</v>
      </c>
      <c r="D15" s="14">
        <v>8.8000000000000007</v>
      </c>
      <c r="E15" s="14">
        <v>6.8</v>
      </c>
      <c r="F15" s="16">
        <v>0</v>
      </c>
      <c r="G15" s="6" t="s">
        <v>33</v>
      </c>
    </row>
    <row r="16" spans="1:7" ht="28.95" customHeight="1">
      <c r="A16" s="7">
        <v>5</v>
      </c>
      <c r="B16" s="7">
        <v>33</v>
      </c>
      <c r="C16" s="13">
        <v>41.5</v>
      </c>
      <c r="D16" s="14">
        <v>11</v>
      </c>
      <c r="E16" s="14">
        <v>8.5</v>
      </c>
      <c r="F16" s="16">
        <v>2</v>
      </c>
      <c r="G16" s="6" t="s">
        <v>33</v>
      </c>
    </row>
    <row r="17" spans="1:7" ht="28.95" customHeight="1">
      <c r="A17" s="6">
        <v>6</v>
      </c>
      <c r="B17" s="6">
        <v>30.8</v>
      </c>
      <c r="C17" s="13">
        <v>41</v>
      </c>
      <c r="D17" s="14">
        <v>13.2</v>
      </c>
      <c r="E17" s="14">
        <v>10.199999999999999</v>
      </c>
      <c r="F17" s="16">
        <v>0</v>
      </c>
      <c r="G17" s="6" t="s">
        <v>33</v>
      </c>
    </row>
    <row r="18" spans="1:7" ht="28.95" customHeight="1">
      <c r="A18" s="7">
        <v>7</v>
      </c>
      <c r="B18" s="7">
        <v>28.6</v>
      </c>
      <c r="C18" s="13">
        <v>40.5</v>
      </c>
      <c r="D18" s="14">
        <v>15.4</v>
      </c>
      <c r="E18" s="14">
        <v>11.9</v>
      </c>
      <c r="F18" s="16">
        <v>1</v>
      </c>
      <c r="G18" s="6" t="s">
        <v>33</v>
      </c>
    </row>
    <row r="19" spans="1:7" ht="28.95" customHeight="1">
      <c r="A19" s="6">
        <v>8</v>
      </c>
      <c r="B19" s="6">
        <v>26.4</v>
      </c>
      <c r="C19" s="13">
        <v>40</v>
      </c>
      <c r="D19" s="14">
        <v>17.600000000000001</v>
      </c>
      <c r="E19" s="14">
        <v>13.6</v>
      </c>
      <c r="F19" s="16">
        <v>0</v>
      </c>
      <c r="G19" s="6" t="s">
        <v>33</v>
      </c>
    </row>
    <row r="20" spans="1:7" ht="28.95" customHeight="1">
      <c r="A20" s="7">
        <v>9</v>
      </c>
      <c r="B20" s="7">
        <v>24.2</v>
      </c>
      <c r="C20" s="13">
        <v>39.5</v>
      </c>
      <c r="D20" s="14">
        <v>19.8</v>
      </c>
      <c r="E20" s="14">
        <v>15.3</v>
      </c>
      <c r="F20" s="16">
        <v>0</v>
      </c>
      <c r="G20" s="6" t="s">
        <v>33</v>
      </c>
    </row>
    <row r="21" spans="1:7" ht="28.95" customHeight="1">
      <c r="A21" s="6">
        <v>10</v>
      </c>
      <c r="B21" s="6">
        <v>22</v>
      </c>
      <c r="C21" s="13">
        <v>39</v>
      </c>
      <c r="D21" s="14">
        <v>22</v>
      </c>
      <c r="E21" s="14">
        <v>17</v>
      </c>
      <c r="F21" s="16">
        <v>2</v>
      </c>
      <c r="G21" s="6" t="s">
        <v>33</v>
      </c>
    </row>
    <row r="22" spans="1:7" ht="28.95" customHeight="1">
      <c r="A22" s="7">
        <v>11</v>
      </c>
      <c r="B22" s="7">
        <v>19.8</v>
      </c>
      <c r="C22" s="13">
        <v>38.5</v>
      </c>
      <c r="D22" s="14">
        <v>24.2</v>
      </c>
      <c r="E22" s="14">
        <v>18.7</v>
      </c>
      <c r="F22" s="16">
        <v>0</v>
      </c>
      <c r="G22" s="6" t="s">
        <v>33</v>
      </c>
    </row>
    <row r="23" spans="1:7" ht="28.95" customHeight="1">
      <c r="A23" s="6">
        <v>12</v>
      </c>
      <c r="B23" s="6">
        <v>17.600000000000001</v>
      </c>
      <c r="C23" s="13">
        <v>38</v>
      </c>
      <c r="D23" s="14">
        <v>26.4</v>
      </c>
      <c r="E23" s="14">
        <v>20.399999999999999</v>
      </c>
      <c r="F23" s="16">
        <v>1</v>
      </c>
      <c r="G23" s="6" t="s">
        <v>33</v>
      </c>
    </row>
    <row r="24" spans="1:7" ht="28.95" customHeight="1">
      <c r="A24" s="7">
        <v>13</v>
      </c>
      <c r="B24" s="7">
        <v>15.4</v>
      </c>
      <c r="C24" s="13">
        <v>37.5</v>
      </c>
      <c r="D24" s="14">
        <v>28.6</v>
      </c>
      <c r="E24" s="14">
        <v>22.1</v>
      </c>
      <c r="F24" s="16">
        <v>0</v>
      </c>
      <c r="G24" s="6" t="s">
        <v>33</v>
      </c>
    </row>
    <row r="25" spans="1:7" ht="28.95" customHeight="1">
      <c r="A25" s="6">
        <v>14</v>
      </c>
      <c r="B25" s="6">
        <v>13.2</v>
      </c>
      <c r="C25" s="13">
        <v>37</v>
      </c>
      <c r="D25" s="14">
        <v>30.8</v>
      </c>
      <c r="E25" s="14">
        <v>23.8</v>
      </c>
      <c r="F25" s="16">
        <v>0</v>
      </c>
      <c r="G25" s="6" t="s">
        <v>33</v>
      </c>
    </row>
    <row r="26" spans="1:7" ht="28.95" customHeight="1">
      <c r="A26" s="7">
        <v>15</v>
      </c>
      <c r="B26" s="7">
        <v>11</v>
      </c>
      <c r="C26" s="13">
        <v>36.5</v>
      </c>
      <c r="D26" s="14">
        <v>33</v>
      </c>
      <c r="E26" s="14">
        <v>25.5</v>
      </c>
      <c r="F26" s="16">
        <v>1</v>
      </c>
      <c r="G26" s="6" t="s">
        <v>33</v>
      </c>
    </row>
    <row r="27" spans="1:7" ht="28.95" customHeight="1">
      <c r="A27" s="6">
        <v>16</v>
      </c>
      <c r="B27" s="6">
        <v>8.8000000000000007</v>
      </c>
      <c r="C27" s="13">
        <v>36</v>
      </c>
      <c r="D27" s="14">
        <v>35.200000000000003</v>
      </c>
      <c r="E27" s="14">
        <v>27.2</v>
      </c>
      <c r="F27" s="16">
        <v>0</v>
      </c>
      <c r="G27" s="6" t="s">
        <v>33</v>
      </c>
    </row>
    <row r="28" spans="1:7" ht="28.95" customHeight="1">
      <c r="A28" s="7">
        <v>17</v>
      </c>
      <c r="B28" s="7">
        <v>6.6</v>
      </c>
      <c r="C28" s="13">
        <v>35.5</v>
      </c>
      <c r="D28" s="14">
        <v>37.4</v>
      </c>
      <c r="E28" s="14">
        <v>28.9</v>
      </c>
      <c r="F28" s="16">
        <v>1</v>
      </c>
      <c r="G28" s="6" t="s">
        <v>33</v>
      </c>
    </row>
    <row r="29" spans="1:7" ht="28.95" customHeight="1">
      <c r="A29" s="6">
        <v>18</v>
      </c>
      <c r="B29" s="6">
        <v>4.4000000000000004</v>
      </c>
      <c r="C29" s="13">
        <v>35</v>
      </c>
      <c r="D29" s="14">
        <v>39.6</v>
      </c>
      <c r="E29" s="14">
        <v>30.6</v>
      </c>
      <c r="F29" s="16">
        <v>0</v>
      </c>
      <c r="G29" s="6" t="s">
        <v>33</v>
      </c>
    </row>
    <row r="30" spans="1:7" ht="28.95" customHeight="1">
      <c r="A30" s="7">
        <v>19</v>
      </c>
      <c r="B30" s="7">
        <v>2.2000000000000002</v>
      </c>
      <c r="C30" s="13">
        <v>34.5</v>
      </c>
      <c r="D30" s="14">
        <v>41.8</v>
      </c>
      <c r="E30" s="14">
        <v>32.299999999999997</v>
      </c>
      <c r="F30" s="16">
        <v>0</v>
      </c>
      <c r="G30" s="6" t="s">
        <v>33</v>
      </c>
    </row>
    <row r="31" spans="1:7" ht="28.95" customHeight="1">
      <c r="A31" s="6">
        <v>20</v>
      </c>
      <c r="B31" s="6">
        <v>0</v>
      </c>
      <c r="C31" s="15">
        <v>34</v>
      </c>
      <c r="D31" s="14">
        <v>44</v>
      </c>
      <c r="E31" s="14">
        <v>34</v>
      </c>
      <c r="F31" s="16">
        <v>1</v>
      </c>
      <c r="G31" s="6" t="s">
        <v>34</v>
      </c>
    </row>
    <row r="33" spans="1:5" ht="51" customHeight="1">
      <c r="A33" s="31"/>
      <c r="B33" s="31"/>
      <c r="C33" s="31"/>
      <c r="D33" s="31"/>
      <c r="E33" s="31"/>
    </row>
    <row r="34" spans="1:5" ht="64.95" customHeight="1">
      <c r="A34" s="20"/>
      <c r="B34" s="20"/>
      <c r="C34" s="20"/>
      <c r="D34" s="20"/>
      <c r="E34" s="20"/>
    </row>
    <row r="35" spans="1:5" ht="52.05" customHeight="1">
      <c r="A35" s="28"/>
      <c r="B35" s="28"/>
      <c r="C35" s="28"/>
      <c r="D35" s="28"/>
      <c r="E35" s="28"/>
    </row>
    <row r="36" spans="1:5" ht="36" customHeight="1">
      <c r="A36" s="30"/>
      <c r="B36" s="30"/>
      <c r="C36" s="30"/>
      <c r="D36" s="30"/>
      <c r="E36" s="30"/>
    </row>
    <row r="37" spans="1:5" ht="37.950000000000003" customHeight="1">
      <c r="A37" s="26" t="s">
        <v>35</v>
      </c>
      <c r="B37" s="26"/>
      <c r="C37" s="26"/>
      <c r="D37" s="26"/>
      <c r="E37" s="26"/>
    </row>
    <row r="38" spans="1:5" ht="34.950000000000003" customHeight="1">
      <c r="A38" s="11" t="s">
        <v>36</v>
      </c>
      <c r="B38" s="11" t="s">
        <v>37</v>
      </c>
      <c r="C38" s="11" t="s">
        <v>38</v>
      </c>
      <c r="D38" s="11" t="s">
        <v>39</v>
      </c>
      <c r="E38" s="11" t="s">
        <v>40</v>
      </c>
    </row>
    <row r="39" spans="1:5" ht="40.049999999999997" customHeight="1">
      <c r="A39" s="12" t="s">
        <v>41</v>
      </c>
      <c r="B39" s="12" t="s">
        <v>42</v>
      </c>
      <c r="C39" s="12">
        <v>6</v>
      </c>
      <c r="D39" s="12" t="s">
        <v>43</v>
      </c>
      <c r="E39" s="12" t="s">
        <v>44</v>
      </c>
    </row>
    <row r="40" spans="1:5" ht="40.049999999999997" customHeight="1">
      <c r="A40" s="12" t="s">
        <v>45</v>
      </c>
      <c r="B40" s="12" t="s">
        <v>46</v>
      </c>
      <c r="C40" s="12">
        <v>6</v>
      </c>
      <c r="D40" s="12" t="s">
        <v>47</v>
      </c>
      <c r="E40" s="12" t="s">
        <v>44</v>
      </c>
    </row>
    <row r="41" spans="1:5" ht="40.049999999999997" customHeight="1">
      <c r="A41" s="12" t="s">
        <v>48</v>
      </c>
      <c r="B41" s="12" t="s">
        <v>49</v>
      </c>
      <c r="C41" s="12">
        <v>8</v>
      </c>
      <c r="D41" s="12" t="s">
        <v>43</v>
      </c>
      <c r="E41" s="12" t="s">
        <v>44</v>
      </c>
    </row>
    <row r="42" spans="1:5" ht="40.049999999999997" customHeight="1">
      <c r="A42" s="12" t="s">
        <v>50</v>
      </c>
      <c r="B42" s="12" t="s">
        <v>51</v>
      </c>
      <c r="C42" s="12">
        <v>4</v>
      </c>
      <c r="D42" s="12" t="s">
        <v>43</v>
      </c>
      <c r="E42" s="12" t="s">
        <v>52</v>
      </c>
    </row>
    <row r="43" spans="1:5" ht="40.049999999999997" customHeight="1">
      <c r="A43" s="12" t="s">
        <v>53</v>
      </c>
      <c r="B43" s="12" t="s">
        <v>54</v>
      </c>
      <c r="C43" s="12">
        <v>5</v>
      </c>
      <c r="D43" s="12" t="s">
        <v>43</v>
      </c>
      <c r="E43" s="12" t="s">
        <v>44</v>
      </c>
    </row>
    <row r="44" spans="1:5" ht="40.049999999999997" customHeight="1">
      <c r="A44" s="12" t="s">
        <v>55</v>
      </c>
      <c r="B44" s="12" t="s">
        <v>56</v>
      </c>
      <c r="C44" s="12">
        <v>3</v>
      </c>
      <c r="D44" s="12" t="s">
        <v>43</v>
      </c>
      <c r="E44" s="12" t="s">
        <v>52</v>
      </c>
    </row>
    <row r="45" spans="1:5" ht="40.049999999999997" customHeight="1">
      <c r="A45" s="12" t="s">
        <v>57</v>
      </c>
      <c r="B45" s="12" t="s">
        <v>58</v>
      </c>
      <c r="C45" s="12">
        <v>8</v>
      </c>
      <c r="D45" s="12" t="s">
        <v>43</v>
      </c>
      <c r="E45" s="12" t="s">
        <v>59</v>
      </c>
    </row>
    <row r="46" spans="1:5" ht="40.049999999999997" customHeight="1">
      <c r="A46" s="12" t="s">
        <v>60</v>
      </c>
      <c r="B46" s="12" t="s">
        <v>61</v>
      </c>
      <c r="C46" s="12">
        <v>4</v>
      </c>
      <c r="D46" s="12" t="s">
        <v>47</v>
      </c>
      <c r="E46" s="12" t="s">
        <v>59</v>
      </c>
    </row>
    <row r="48" spans="1:5" ht="58.05" customHeight="1">
      <c r="A48" s="27" t="s">
        <v>62</v>
      </c>
      <c r="B48" s="27"/>
      <c r="C48" s="27"/>
      <c r="D48" s="27"/>
      <c r="E48" s="27"/>
    </row>
  </sheetData>
  <mergeCells count="8">
    <mergeCell ref="A37:E37"/>
    <mergeCell ref="A48:E48"/>
    <mergeCell ref="A35:E35"/>
    <mergeCell ref="A1:F1"/>
    <mergeCell ref="A2:F2"/>
    <mergeCell ref="A34:E34"/>
    <mergeCell ref="A36:E36"/>
    <mergeCell ref="A33:E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zoomScale="58" workbookViewId="0">
      <pane ySplit="10" topLeftCell="A27" activePane="bottomLeft" state="frozen"/>
      <selection pane="bottomLeft" activeCell="F27" sqref="F27"/>
    </sheetView>
  </sheetViews>
  <sheetFormatPr baseColWidth="10" defaultColWidth="8.796875" defaultRowHeight="13.8"/>
  <cols>
    <col min="1" max="1" width="18" customWidth="1"/>
    <col min="2" max="2" width="27" customWidth="1"/>
    <col min="3" max="3" width="42" customWidth="1"/>
    <col min="4" max="4" width="32" customWidth="1"/>
    <col min="5" max="5" width="41" customWidth="1"/>
    <col min="6" max="6" width="31" customWidth="1"/>
    <col min="7" max="7" width="54" customWidth="1"/>
    <col min="8" max="8" width="13" customWidth="1"/>
  </cols>
  <sheetData>
    <row r="1" spans="1:7" ht="42" customHeight="1">
      <c r="A1" s="29" t="s">
        <v>63</v>
      </c>
      <c r="B1" s="29"/>
      <c r="C1" s="29"/>
      <c r="D1" s="29"/>
      <c r="E1" s="29"/>
      <c r="F1" s="29"/>
    </row>
    <row r="2" spans="1:7" ht="43.95" customHeight="1">
      <c r="A2" s="22" t="s">
        <v>20</v>
      </c>
      <c r="B2" s="22"/>
      <c r="C2" s="22"/>
      <c r="D2" s="22"/>
      <c r="E2" s="22"/>
      <c r="F2" s="22"/>
    </row>
    <row r="4" spans="1:7" ht="30" customHeight="1">
      <c r="A4" s="4" t="s">
        <v>21</v>
      </c>
      <c r="B4" s="5">
        <v>54</v>
      </c>
    </row>
    <row r="5" spans="1:7" ht="30" customHeight="1">
      <c r="A5" s="4" t="s">
        <v>22</v>
      </c>
      <c r="B5" s="5">
        <v>14</v>
      </c>
    </row>
    <row r="6" spans="1:7" ht="30" customHeight="1">
      <c r="A6" s="4" t="s">
        <v>23</v>
      </c>
      <c r="B6" s="5">
        <v>40</v>
      </c>
    </row>
    <row r="7" spans="1:7" ht="30" customHeight="1">
      <c r="A7" s="4" t="s">
        <v>24</v>
      </c>
      <c r="B7" s="5">
        <v>6</v>
      </c>
    </row>
    <row r="10" spans="1:7" ht="67.05" customHeight="1">
      <c r="A10" s="19" t="s">
        <v>25</v>
      </c>
      <c r="B10" s="19" t="s">
        <v>26</v>
      </c>
      <c r="C10" s="19" t="s">
        <v>27</v>
      </c>
      <c r="D10" s="19" t="s">
        <v>28</v>
      </c>
      <c r="E10" s="19" t="s">
        <v>29</v>
      </c>
      <c r="F10" s="19" t="s">
        <v>30</v>
      </c>
      <c r="G10" s="19" t="s">
        <v>31</v>
      </c>
    </row>
    <row r="11" spans="1:7" ht="28.95" customHeight="1">
      <c r="A11" s="6">
        <v>0</v>
      </c>
      <c r="B11" s="6">
        <v>54</v>
      </c>
      <c r="C11" s="15">
        <v>54</v>
      </c>
      <c r="D11" s="14">
        <v>0</v>
      </c>
      <c r="E11" s="14">
        <v>0</v>
      </c>
      <c r="F11" s="16">
        <v>0</v>
      </c>
      <c r="G11" s="6" t="s">
        <v>32</v>
      </c>
    </row>
    <row r="12" spans="1:7" ht="28.95" customHeight="1">
      <c r="A12" s="7">
        <v>1</v>
      </c>
      <c r="B12" s="7">
        <v>51.3</v>
      </c>
      <c r="C12" s="13">
        <v>52</v>
      </c>
      <c r="D12" s="14">
        <v>2.7</v>
      </c>
      <c r="E12" s="14">
        <v>0.7</v>
      </c>
      <c r="F12" s="16">
        <v>2</v>
      </c>
      <c r="G12" s="6" t="s">
        <v>33</v>
      </c>
    </row>
    <row r="13" spans="1:7" ht="28.95" customHeight="1">
      <c r="A13" s="6">
        <v>2</v>
      </c>
      <c r="B13" s="6">
        <v>48.6</v>
      </c>
      <c r="C13" s="13">
        <v>50</v>
      </c>
      <c r="D13" s="14">
        <v>5.4</v>
      </c>
      <c r="E13" s="14">
        <v>1.4</v>
      </c>
      <c r="F13" s="16">
        <v>3</v>
      </c>
      <c r="G13" s="6" t="s">
        <v>33</v>
      </c>
    </row>
    <row r="14" spans="1:7" ht="28.95" customHeight="1">
      <c r="A14" s="7">
        <v>3</v>
      </c>
      <c r="B14" s="7">
        <v>45.9</v>
      </c>
      <c r="C14" s="13">
        <v>48</v>
      </c>
      <c r="D14" s="14">
        <v>8.1</v>
      </c>
      <c r="E14" s="14">
        <v>2.1</v>
      </c>
      <c r="F14" s="16">
        <v>0</v>
      </c>
      <c r="G14" s="6" t="s">
        <v>33</v>
      </c>
    </row>
    <row r="15" spans="1:7" ht="28.95" customHeight="1">
      <c r="A15" s="6">
        <v>4</v>
      </c>
      <c r="B15" s="6">
        <v>43.2</v>
      </c>
      <c r="C15" s="13">
        <v>46</v>
      </c>
      <c r="D15" s="14">
        <v>10.8</v>
      </c>
      <c r="E15" s="14">
        <v>2.8</v>
      </c>
      <c r="F15" s="16">
        <v>2</v>
      </c>
      <c r="G15" s="6" t="s">
        <v>33</v>
      </c>
    </row>
    <row r="16" spans="1:7" ht="28.95" customHeight="1">
      <c r="A16" s="7">
        <v>5</v>
      </c>
      <c r="B16" s="7">
        <v>40.5</v>
      </c>
      <c r="C16" s="13">
        <v>44</v>
      </c>
      <c r="D16" s="14">
        <v>13.5</v>
      </c>
      <c r="E16" s="14">
        <v>3.5</v>
      </c>
      <c r="F16" s="16">
        <v>3</v>
      </c>
      <c r="G16" s="6" t="s">
        <v>33</v>
      </c>
    </row>
    <row r="17" spans="1:7" ht="28.95" customHeight="1">
      <c r="A17" s="6">
        <v>6</v>
      </c>
      <c r="B17" s="6">
        <v>37.799999999999997</v>
      </c>
      <c r="C17" s="13">
        <v>42</v>
      </c>
      <c r="D17" s="14">
        <v>16.2</v>
      </c>
      <c r="E17" s="14">
        <v>4.2</v>
      </c>
      <c r="F17" s="16">
        <v>2</v>
      </c>
      <c r="G17" s="6" t="s">
        <v>33</v>
      </c>
    </row>
    <row r="18" spans="1:7" ht="28.95" customHeight="1">
      <c r="A18" s="7">
        <v>7</v>
      </c>
      <c r="B18" s="7">
        <v>35.1</v>
      </c>
      <c r="C18" s="13">
        <v>40</v>
      </c>
      <c r="D18" s="14">
        <v>18.899999999999999</v>
      </c>
      <c r="E18" s="14">
        <v>4.9000000000000004</v>
      </c>
      <c r="F18" s="16">
        <v>0</v>
      </c>
      <c r="G18" s="6" t="s">
        <v>33</v>
      </c>
    </row>
    <row r="19" spans="1:7" ht="28.95" customHeight="1">
      <c r="A19" s="6">
        <v>8</v>
      </c>
      <c r="B19" s="6">
        <v>32.4</v>
      </c>
      <c r="C19" s="13">
        <v>38</v>
      </c>
      <c r="D19" s="14">
        <v>21.6</v>
      </c>
      <c r="E19" s="14">
        <v>5.6</v>
      </c>
      <c r="F19" s="16">
        <v>3</v>
      </c>
      <c r="G19" s="6" t="s">
        <v>33</v>
      </c>
    </row>
    <row r="20" spans="1:7" ht="28.95" customHeight="1">
      <c r="A20" s="7">
        <v>9</v>
      </c>
      <c r="B20" s="7">
        <v>29.7</v>
      </c>
      <c r="C20" s="13">
        <v>36</v>
      </c>
      <c r="D20" s="14">
        <v>24.3</v>
      </c>
      <c r="E20" s="14">
        <v>6.3</v>
      </c>
      <c r="F20" s="16">
        <v>2</v>
      </c>
      <c r="G20" s="6" t="s">
        <v>33</v>
      </c>
    </row>
    <row r="21" spans="1:7" ht="28.95" customHeight="1">
      <c r="A21" s="6">
        <v>10</v>
      </c>
      <c r="B21" s="6">
        <v>27</v>
      </c>
      <c r="C21" s="13">
        <v>34</v>
      </c>
      <c r="D21" s="14">
        <v>27</v>
      </c>
      <c r="E21" s="14">
        <v>7</v>
      </c>
      <c r="F21" s="16">
        <v>2</v>
      </c>
      <c r="G21" s="6" t="s">
        <v>33</v>
      </c>
    </row>
    <row r="22" spans="1:7" ht="28.95" customHeight="1">
      <c r="A22" s="7">
        <v>11</v>
      </c>
      <c r="B22" s="7">
        <v>24.3</v>
      </c>
      <c r="C22" s="13">
        <v>32</v>
      </c>
      <c r="D22" s="14">
        <v>29.7</v>
      </c>
      <c r="E22" s="14">
        <v>7.7</v>
      </c>
      <c r="F22" s="16">
        <v>0</v>
      </c>
      <c r="G22" s="6" t="s">
        <v>33</v>
      </c>
    </row>
    <row r="23" spans="1:7" ht="28.95" customHeight="1">
      <c r="A23" s="6">
        <v>12</v>
      </c>
      <c r="B23" s="6">
        <v>21.6</v>
      </c>
      <c r="C23" s="13">
        <v>30</v>
      </c>
      <c r="D23" s="14">
        <v>32.4</v>
      </c>
      <c r="E23" s="14">
        <v>8.4</v>
      </c>
      <c r="F23" s="16">
        <v>3</v>
      </c>
      <c r="G23" s="6" t="s">
        <v>33</v>
      </c>
    </row>
    <row r="24" spans="1:7" ht="28.95" customHeight="1">
      <c r="A24" s="7">
        <v>13</v>
      </c>
      <c r="B24" s="7">
        <v>18.899999999999999</v>
      </c>
      <c r="C24" s="13">
        <v>28</v>
      </c>
      <c r="D24" s="14">
        <v>35.1</v>
      </c>
      <c r="E24" s="14">
        <v>9.1</v>
      </c>
      <c r="F24" s="16">
        <v>2</v>
      </c>
      <c r="G24" s="6" t="s">
        <v>33</v>
      </c>
    </row>
    <row r="25" spans="1:7" ht="28.95" customHeight="1">
      <c r="A25" s="6">
        <v>14</v>
      </c>
      <c r="B25" s="6">
        <v>16.2</v>
      </c>
      <c r="C25" s="13">
        <v>26</v>
      </c>
      <c r="D25" s="14">
        <v>37.799999999999997</v>
      </c>
      <c r="E25" s="14">
        <v>9.8000000000000007</v>
      </c>
      <c r="F25" s="16">
        <v>3</v>
      </c>
      <c r="G25" s="6" t="s">
        <v>33</v>
      </c>
    </row>
    <row r="26" spans="1:7" ht="28.95" customHeight="1">
      <c r="A26" s="7">
        <v>15</v>
      </c>
      <c r="B26" s="7">
        <v>13.5</v>
      </c>
      <c r="C26" s="13">
        <v>24</v>
      </c>
      <c r="D26" s="14">
        <v>40.5</v>
      </c>
      <c r="E26" s="14">
        <v>10.5</v>
      </c>
      <c r="F26" s="16">
        <v>2</v>
      </c>
      <c r="G26" s="6" t="s">
        <v>33</v>
      </c>
    </row>
    <row r="27" spans="1:7" ht="28.95" customHeight="1">
      <c r="A27" s="6">
        <v>16</v>
      </c>
      <c r="B27" s="6">
        <v>10.8</v>
      </c>
      <c r="C27" s="13">
        <v>22</v>
      </c>
      <c r="D27" s="14">
        <v>43.2</v>
      </c>
      <c r="E27" s="14">
        <v>11.2</v>
      </c>
      <c r="F27" s="16">
        <v>2</v>
      </c>
      <c r="G27" s="6" t="s">
        <v>33</v>
      </c>
    </row>
    <row r="28" spans="1:7" ht="28.95" customHeight="1">
      <c r="A28" s="7">
        <v>17</v>
      </c>
      <c r="B28" s="7">
        <v>8.1</v>
      </c>
      <c r="C28" s="13">
        <v>20</v>
      </c>
      <c r="D28" s="14">
        <v>45.9</v>
      </c>
      <c r="E28" s="14">
        <v>11.9</v>
      </c>
      <c r="F28" s="16">
        <v>0</v>
      </c>
      <c r="G28" s="6" t="s">
        <v>33</v>
      </c>
    </row>
    <row r="29" spans="1:7" ht="28.95" customHeight="1">
      <c r="A29" s="6">
        <v>18</v>
      </c>
      <c r="B29" s="6">
        <v>5.4</v>
      </c>
      <c r="C29" s="13">
        <v>18</v>
      </c>
      <c r="D29" s="14">
        <v>48.6</v>
      </c>
      <c r="E29" s="14">
        <v>12.6</v>
      </c>
      <c r="F29" s="16">
        <v>3</v>
      </c>
      <c r="G29" s="6" t="s">
        <v>33</v>
      </c>
    </row>
    <row r="30" spans="1:7" ht="28.95" customHeight="1">
      <c r="A30" s="7">
        <v>19</v>
      </c>
      <c r="B30" s="7">
        <v>2.7</v>
      </c>
      <c r="C30" s="13">
        <v>16</v>
      </c>
      <c r="D30" s="14">
        <v>51.3</v>
      </c>
      <c r="E30" s="14">
        <v>13.3</v>
      </c>
      <c r="F30" s="16">
        <v>2</v>
      </c>
      <c r="G30" s="6" t="s">
        <v>33</v>
      </c>
    </row>
    <row r="31" spans="1:7" ht="28.95" customHeight="1">
      <c r="A31" s="6">
        <v>20</v>
      </c>
      <c r="B31" s="6">
        <v>0</v>
      </c>
      <c r="C31" s="15">
        <v>14</v>
      </c>
      <c r="D31" s="14">
        <v>54</v>
      </c>
      <c r="E31" s="14">
        <v>14</v>
      </c>
      <c r="F31" s="16">
        <v>2</v>
      </c>
      <c r="G31" s="6" t="s">
        <v>34</v>
      </c>
    </row>
    <row r="33" spans="1:5" ht="51" customHeight="1">
      <c r="A33" s="31"/>
      <c r="B33" s="31"/>
      <c r="C33" s="31"/>
      <c r="D33" s="31"/>
      <c r="E33" s="31"/>
    </row>
    <row r="34" spans="1:5" ht="64.95" customHeight="1">
      <c r="A34" s="20"/>
      <c r="B34" s="20"/>
      <c r="C34" s="20"/>
      <c r="D34" s="20"/>
      <c r="E34" s="20"/>
    </row>
    <row r="35" spans="1:5" ht="52.05" customHeight="1">
      <c r="A35" s="28"/>
      <c r="B35" s="28"/>
      <c r="C35" s="28"/>
      <c r="D35" s="28"/>
      <c r="E35" s="28"/>
    </row>
    <row r="36" spans="1:5" ht="36" customHeight="1">
      <c r="A36" s="30"/>
      <c r="B36" s="30"/>
      <c r="C36" s="30"/>
      <c r="D36" s="30"/>
      <c r="E36" s="30"/>
    </row>
    <row r="37" spans="1:5" ht="37.950000000000003" customHeight="1">
      <c r="A37" s="26" t="s">
        <v>64</v>
      </c>
      <c r="B37" s="26"/>
      <c r="C37" s="26"/>
      <c r="D37" s="26"/>
      <c r="E37" s="26"/>
    </row>
    <row r="38" spans="1:5" ht="34.950000000000003" customHeight="1">
      <c r="A38" s="11" t="s">
        <v>36</v>
      </c>
      <c r="B38" s="11" t="s">
        <v>37</v>
      </c>
      <c r="C38" s="11" t="s">
        <v>38</v>
      </c>
      <c r="D38" s="11" t="s">
        <v>39</v>
      </c>
      <c r="E38" s="11" t="s">
        <v>40</v>
      </c>
    </row>
    <row r="39" spans="1:5" ht="40.049999999999997" customHeight="1">
      <c r="A39" s="12" t="s">
        <v>65</v>
      </c>
      <c r="B39" s="12" t="s">
        <v>66</v>
      </c>
      <c r="C39" s="12">
        <v>8</v>
      </c>
      <c r="D39" s="12" t="s">
        <v>47</v>
      </c>
      <c r="E39" s="12" t="s">
        <v>59</v>
      </c>
    </row>
    <row r="40" spans="1:5" ht="40.049999999999997" customHeight="1">
      <c r="A40" s="12" t="s">
        <v>67</v>
      </c>
      <c r="B40" s="12" t="s">
        <v>68</v>
      </c>
      <c r="C40" s="12">
        <v>8</v>
      </c>
      <c r="D40" s="12" t="s">
        <v>47</v>
      </c>
      <c r="E40" s="12" t="s">
        <v>59</v>
      </c>
    </row>
    <row r="41" spans="1:5" ht="40.049999999999997" customHeight="1">
      <c r="A41" s="12" t="s">
        <v>69</v>
      </c>
      <c r="B41" s="12" t="s">
        <v>70</v>
      </c>
      <c r="C41" s="12">
        <v>8</v>
      </c>
      <c r="D41" s="12" t="s">
        <v>47</v>
      </c>
      <c r="E41" s="12" t="s">
        <v>59</v>
      </c>
    </row>
    <row r="42" spans="1:5" ht="40.049999999999997" customHeight="1">
      <c r="A42" s="12" t="s">
        <v>71</v>
      </c>
      <c r="B42" s="12" t="s">
        <v>72</v>
      </c>
      <c r="C42" s="12">
        <v>6</v>
      </c>
      <c r="D42" s="12" t="s">
        <v>47</v>
      </c>
      <c r="E42" s="12" t="s">
        <v>59</v>
      </c>
    </row>
    <row r="43" spans="1:5" ht="40.049999999999997" customHeight="1">
      <c r="A43" s="12" t="s">
        <v>73</v>
      </c>
      <c r="B43" s="12" t="s">
        <v>74</v>
      </c>
      <c r="C43" s="12">
        <v>6</v>
      </c>
      <c r="D43" s="12" t="s">
        <v>43</v>
      </c>
      <c r="E43" s="12" t="s">
        <v>44</v>
      </c>
    </row>
    <row r="44" spans="1:5" ht="40.049999999999997" customHeight="1">
      <c r="A44" s="12" t="s">
        <v>75</v>
      </c>
      <c r="B44" s="12" t="s">
        <v>76</v>
      </c>
      <c r="C44" s="12">
        <v>6</v>
      </c>
      <c r="D44" s="12" t="s">
        <v>47</v>
      </c>
      <c r="E44" s="12" t="s">
        <v>44</v>
      </c>
    </row>
    <row r="45" spans="1:5" ht="40.049999999999997" customHeight="1">
      <c r="A45" s="12" t="s">
        <v>77</v>
      </c>
      <c r="B45" s="12" t="s">
        <v>78</v>
      </c>
      <c r="C45" s="12">
        <v>8</v>
      </c>
      <c r="D45" s="12" t="s">
        <v>43</v>
      </c>
      <c r="E45" s="12" t="s">
        <v>59</v>
      </c>
    </row>
    <row r="46" spans="1:5" ht="40.049999999999997" customHeight="1">
      <c r="A46" s="12" t="s">
        <v>79</v>
      </c>
      <c r="B46" s="12" t="s">
        <v>80</v>
      </c>
      <c r="C46" s="12">
        <v>4</v>
      </c>
      <c r="D46" s="12" t="s">
        <v>47</v>
      </c>
      <c r="E46" s="12" t="s">
        <v>44</v>
      </c>
    </row>
    <row r="48" spans="1:5" ht="58.05" customHeight="1">
      <c r="A48" s="27" t="s">
        <v>62</v>
      </c>
      <c r="B48" s="27"/>
      <c r="C48" s="27"/>
      <c r="D48" s="27"/>
      <c r="E48" s="27"/>
    </row>
  </sheetData>
  <mergeCells count="8">
    <mergeCell ref="A37:E37"/>
    <mergeCell ref="A48:E48"/>
    <mergeCell ref="A35:E35"/>
    <mergeCell ref="A1:F1"/>
    <mergeCell ref="A2:F2"/>
    <mergeCell ref="A34:E34"/>
    <mergeCell ref="A36:E36"/>
    <mergeCell ref="A33:E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zoomScale="77" workbookViewId="0">
      <pane ySplit="10" topLeftCell="A32" activePane="bottomLeft" state="frozen"/>
      <selection pane="bottomLeft" activeCell="F34" sqref="F34"/>
    </sheetView>
  </sheetViews>
  <sheetFormatPr baseColWidth="10" defaultColWidth="8.796875" defaultRowHeight="13.8"/>
  <cols>
    <col min="1" max="1" width="18" customWidth="1"/>
    <col min="2" max="2" width="27" customWidth="1"/>
    <col min="3" max="3" width="42" customWidth="1"/>
    <col min="4" max="4" width="32" customWidth="1"/>
    <col min="5" max="5" width="41" customWidth="1"/>
    <col min="6" max="6" width="31" customWidth="1"/>
    <col min="7" max="7" width="54" customWidth="1"/>
    <col min="8" max="8" width="13" customWidth="1"/>
  </cols>
  <sheetData>
    <row r="1" spans="1:7" ht="42" customHeight="1">
      <c r="A1" s="29" t="s">
        <v>81</v>
      </c>
      <c r="B1" s="29"/>
      <c r="C1" s="29"/>
      <c r="D1" s="29"/>
      <c r="E1" s="29"/>
      <c r="F1" s="29"/>
    </row>
    <row r="2" spans="1:7" ht="43.95" customHeight="1">
      <c r="A2" s="22" t="s">
        <v>20</v>
      </c>
      <c r="B2" s="22"/>
      <c r="C2" s="22"/>
      <c r="D2" s="22"/>
      <c r="E2" s="22"/>
      <c r="F2" s="22"/>
    </row>
    <row r="4" spans="1:7" ht="30" customHeight="1">
      <c r="A4" s="4" t="s">
        <v>21</v>
      </c>
      <c r="B4" s="5">
        <v>66</v>
      </c>
    </row>
    <row r="5" spans="1:7" ht="30" customHeight="1">
      <c r="A5" s="4" t="s">
        <v>22</v>
      </c>
      <c r="B5" s="5">
        <v>52</v>
      </c>
    </row>
    <row r="6" spans="1:7" ht="30" customHeight="1">
      <c r="A6" s="4" t="s">
        <v>23</v>
      </c>
      <c r="B6" s="5">
        <v>14</v>
      </c>
    </row>
    <row r="7" spans="1:7" ht="30" customHeight="1">
      <c r="A7" s="4" t="s">
        <v>24</v>
      </c>
      <c r="B7" s="5">
        <v>2</v>
      </c>
    </row>
    <row r="10" spans="1:7" ht="67.05" customHeight="1">
      <c r="A10" s="19" t="s">
        <v>25</v>
      </c>
      <c r="B10" s="19" t="s">
        <v>26</v>
      </c>
      <c r="C10" s="19" t="s">
        <v>27</v>
      </c>
      <c r="D10" s="19" t="s">
        <v>28</v>
      </c>
      <c r="E10" s="19" t="s">
        <v>29</v>
      </c>
      <c r="F10" s="19" t="s">
        <v>30</v>
      </c>
      <c r="G10" s="19" t="s">
        <v>31</v>
      </c>
    </row>
    <row r="11" spans="1:7" ht="28.95" customHeight="1">
      <c r="A11" s="6">
        <v>0</v>
      </c>
      <c r="B11" s="6">
        <v>66</v>
      </c>
      <c r="C11" s="15">
        <v>66</v>
      </c>
      <c r="D11" s="14">
        <v>0</v>
      </c>
      <c r="E11" s="14">
        <v>0</v>
      </c>
      <c r="F11" s="16">
        <v>0</v>
      </c>
      <c r="G11" s="6" t="s">
        <v>32</v>
      </c>
    </row>
    <row r="12" spans="1:7" ht="28.95" customHeight="1">
      <c r="A12" s="7">
        <v>1</v>
      </c>
      <c r="B12" s="7">
        <v>62.7</v>
      </c>
      <c r="C12" s="13">
        <v>65.3</v>
      </c>
      <c r="D12" s="14">
        <v>3.3</v>
      </c>
      <c r="E12" s="14">
        <v>2.6</v>
      </c>
      <c r="F12" s="16">
        <v>0</v>
      </c>
      <c r="G12" s="6" t="s">
        <v>33</v>
      </c>
    </row>
    <row r="13" spans="1:7" ht="28.95" customHeight="1">
      <c r="A13" s="6">
        <v>2</v>
      </c>
      <c r="B13" s="6">
        <v>59.4</v>
      </c>
      <c r="C13" s="13">
        <v>64.599999999999994</v>
      </c>
      <c r="D13" s="14">
        <v>6.6</v>
      </c>
      <c r="E13" s="14">
        <v>5.2</v>
      </c>
      <c r="F13" s="16">
        <v>2</v>
      </c>
      <c r="G13" s="6" t="s">
        <v>33</v>
      </c>
    </row>
    <row r="14" spans="1:7" ht="28.95" customHeight="1">
      <c r="A14" s="7">
        <v>3</v>
      </c>
      <c r="B14" s="7">
        <v>56.1</v>
      </c>
      <c r="C14" s="13">
        <v>63.9</v>
      </c>
      <c r="D14" s="14">
        <v>9.9</v>
      </c>
      <c r="E14" s="14">
        <v>7.8</v>
      </c>
      <c r="F14" s="16">
        <v>1</v>
      </c>
      <c r="G14" s="6" t="s">
        <v>33</v>
      </c>
    </row>
    <row r="15" spans="1:7" ht="28.95" customHeight="1">
      <c r="A15" s="6">
        <v>4</v>
      </c>
      <c r="B15" s="6">
        <v>52.8</v>
      </c>
      <c r="C15" s="13">
        <v>63.2</v>
      </c>
      <c r="D15" s="14">
        <v>13.2</v>
      </c>
      <c r="E15" s="14">
        <v>10.4</v>
      </c>
      <c r="F15" s="16">
        <v>0</v>
      </c>
      <c r="G15" s="6" t="s">
        <v>33</v>
      </c>
    </row>
    <row r="16" spans="1:7" ht="28.95" customHeight="1">
      <c r="A16" s="7">
        <v>5</v>
      </c>
      <c r="B16" s="7">
        <v>49.5</v>
      </c>
      <c r="C16" s="13">
        <v>62.5</v>
      </c>
      <c r="D16" s="14">
        <v>16.5</v>
      </c>
      <c r="E16" s="14">
        <v>13</v>
      </c>
      <c r="F16" s="16">
        <v>2</v>
      </c>
      <c r="G16" s="6" t="s">
        <v>33</v>
      </c>
    </row>
    <row r="17" spans="1:7" ht="28.95" customHeight="1">
      <c r="A17" s="6">
        <v>6</v>
      </c>
      <c r="B17" s="6">
        <v>46.2</v>
      </c>
      <c r="C17" s="13">
        <v>61.8</v>
      </c>
      <c r="D17" s="14">
        <v>19.8</v>
      </c>
      <c r="E17" s="14">
        <v>15.6</v>
      </c>
      <c r="F17" s="16">
        <v>1</v>
      </c>
      <c r="G17" s="6" t="s">
        <v>33</v>
      </c>
    </row>
    <row r="18" spans="1:7" ht="28.95" customHeight="1">
      <c r="A18" s="7">
        <v>7</v>
      </c>
      <c r="B18" s="7">
        <v>42.9</v>
      </c>
      <c r="C18" s="13">
        <v>61.1</v>
      </c>
      <c r="D18" s="14">
        <v>23.1</v>
      </c>
      <c r="E18" s="14">
        <v>18.2</v>
      </c>
      <c r="F18" s="16">
        <v>0</v>
      </c>
      <c r="G18" s="6" t="s">
        <v>33</v>
      </c>
    </row>
    <row r="19" spans="1:7" ht="28.95" customHeight="1">
      <c r="A19" s="6">
        <v>8</v>
      </c>
      <c r="B19" s="6">
        <v>39.6</v>
      </c>
      <c r="C19" s="13">
        <v>60.4</v>
      </c>
      <c r="D19" s="14">
        <v>26.4</v>
      </c>
      <c r="E19" s="14">
        <v>20.8</v>
      </c>
      <c r="F19" s="16">
        <v>2</v>
      </c>
      <c r="G19" s="6" t="s">
        <v>33</v>
      </c>
    </row>
    <row r="20" spans="1:7" ht="28.95" customHeight="1">
      <c r="A20" s="7">
        <v>9</v>
      </c>
      <c r="B20" s="7">
        <v>36.299999999999997</v>
      </c>
      <c r="C20" s="13">
        <v>59.7</v>
      </c>
      <c r="D20" s="14">
        <v>29.7</v>
      </c>
      <c r="E20" s="14">
        <v>23.4</v>
      </c>
      <c r="F20" s="16">
        <v>1</v>
      </c>
      <c r="G20" s="6" t="s">
        <v>33</v>
      </c>
    </row>
    <row r="21" spans="1:7" ht="28.95" customHeight="1">
      <c r="A21" s="6">
        <v>10</v>
      </c>
      <c r="B21" s="6">
        <v>33</v>
      </c>
      <c r="C21" s="13">
        <v>59</v>
      </c>
      <c r="D21" s="14">
        <v>33</v>
      </c>
      <c r="E21" s="14">
        <v>26</v>
      </c>
      <c r="F21" s="16">
        <v>0</v>
      </c>
      <c r="G21" s="6" t="s">
        <v>33</v>
      </c>
    </row>
    <row r="22" spans="1:7" ht="28.95" customHeight="1">
      <c r="A22" s="7">
        <v>11</v>
      </c>
      <c r="B22" s="7">
        <v>29.7</v>
      </c>
      <c r="C22" s="13">
        <v>58.3</v>
      </c>
      <c r="D22" s="14">
        <v>36.299999999999997</v>
      </c>
      <c r="E22" s="14">
        <v>28.6</v>
      </c>
      <c r="F22" s="16">
        <v>2</v>
      </c>
      <c r="G22" s="6" t="s">
        <v>33</v>
      </c>
    </row>
    <row r="23" spans="1:7" ht="28.95" customHeight="1">
      <c r="A23" s="6">
        <v>12</v>
      </c>
      <c r="B23" s="6">
        <v>26.4</v>
      </c>
      <c r="C23" s="13">
        <v>57.6</v>
      </c>
      <c r="D23" s="14">
        <v>39.6</v>
      </c>
      <c r="E23" s="14">
        <v>31.2</v>
      </c>
      <c r="F23" s="16">
        <v>1</v>
      </c>
      <c r="G23" s="6" t="s">
        <v>33</v>
      </c>
    </row>
    <row r="24" spans="1:7" ht="28.95" customHeight="1">
      <c r="A24" s="7">
        <v>13</v>
      </c>
      <c r="B24" s="7">
        <v>23.1</v>
      </c>
      <c r="C24" s="13">
        <v>56.9</v>
      </c>
      <c r="D24" s="14">
        <v>42.9</v>
      </c>
      <c r="E24" s="14">
        <v>33.799999999999997</v>
      </c>
      <c r="F24" s="16">
        <v>0</v>
      </c>
      <c r="G24" s="6" t="s">
        <v>33</v>
      </c>
    </row>
    <row r="25" spans="1:7" ht="28.95" customHeight="1">
      <c r="A25" s="6">
        <v>14</v>
      </c>
      <c r="B25" s="6">
        <v>19.8</v>
      </c>
      <c r="C25" s="13">
        <v>56.2</v>
      </c>
      <c r="D25" s="14">
        <v>46.2</v>
      </c>
      <c r="E25" s="14">
        <v>36.4</v>
      </c>
      <c r="F25" s="16">
        <v>2</v>
      </c>
      <c r="G25" s="6" t="s">
        <v>33</v>
      </c>
    </row>
    <row r="26" spans="1:7" ht="28.95" customHeight="1">
      <c r="A26" s="7">
        <v>15</v>
      </c>
      <c r="B26" s="7">
        <v>16.5</v>
      </c>
      <c r="C26" s="13">
        <v>55.5</v>
      </c>
      <c r="D26" s="14">
        <v>49.5</v>
      </c>
      <c r="E26" s="14">
        <v>39</v>
      </c>
      <c r="F26" s="16">
        <v>1</v>
      </c>
      <c r="G26" s="6" t="s">
        <v>33</v>
      </c>
    </row>
    <row r="27" spans="1:7" ht="28.95" customHeight="1">
      <c r="A27" s="6">
        <v>16</v>
      </c>
      <c r="B27" s="6">
        <v>13.2</v>
      </c>
      <c r="C27" s="13">
        <v>54.8</v>
      </c>
      <c r="D27" s="14">
        <v>52.8</v>
      </c>
      <c r="E27" s="14">
        <v>41.6</v>
      </c>
      <c r="F27" s="16">
        <v>0</v>
      </c>
      <c r="G27" s="6" t="s">
        <v>33</v>
      </c>
    </row>
    <row r="28" spans="1:7" ht="28.95" customHeight="1">
      <c r="A28" s="7">
        <v>17</v>
      </c>
      <c r="B28" s="7">
        <v>9.9</v>
      </c>
      <c r="C28" s="13">
        <v>54.1</v>
      </c>
      <c r="D28" s="14">
        <v>56.1</v>
      </c>
      <c r="E28" s="14">
        <v>44.2</v>
      </c>
      <c r="F28" s="16">
        <v>2</v>
      </c>
      <c r="G28" s="6" t="s">
        <v>33</v>
      </c>
    </row>
    <row r="29" spans="1:7" ht="28.95" customHeight="1">
      <c r="A29" s="6">
        <v>18</v>
      </c>
      <c r="B29" s="6">
        <v>6.6</v>
      </c>
      <c r="C29" s="13">
        <v>53.4</v>
      </c>
      <c r="D29" s="14">
        <v>59.4</v>
      </c>
      <c r="E29" s="14">
        <v>46.8</v>
      </c>
      <c r="F29" s="16">
        <v>1</v>
      </c>
      <c r="G29" s="6" t="s">
        <v>33</v>
      </c>
    </row>
    <row r="30" spans="1:7" ht="28.95" customHeight="1">
      <c r="A30" s="7">
        <v>19</v>
      </c>
      <c r="B30" s="7">
        <v>3.3</v>
      </c>
      <c r="C30" s="13">
        <v>52.7</v>
      </c>
      <c r="D30" s="14">
        <v>62.7</v>
      </c>
      <c r="E30" s="14">
        <v>49.4</v>
      </c>
      <c r="F30" s="16">
        <v>0</v>
      </c>
      <c r="G30" s="6" t="s">
        <v>33</v>
      </c>
    </row>
    <row r="31" spans="1:7" ht="28.95" customHeight="1">
      <c r="A31" s="6">
        <v>20</v>
      </c>
      <c r="B31" s="6">
        <v>0</v>
      </c>
      <c r="C31" s="15">
        <v>52</v>
      </c>
      <c r="D31" s="14">
        <v>66</v>
      </c>
      <c r="E31" s="14">
        <v>52</v>
      </c>
      <c r="F31" s="16">
        <v>1</v>
      </c>
      <c r="G31" s="6" t="s">
        <v>34</v>
      </c>
    </row>
    <row r="33" spans="1:5" ht="51" customHeight="1">
      <c r="A33" s="31"/>
      <c r="B33" s="31"/>
      <c r="C33" s="31"/>
      <c r="D33" s="31"/>
      <c r="E33" s="31"/>
    </row>
    <row r="34" spans="1:5" ht="64.95" customHeight="1">
      <c r="A34" s="20"/>
      <c r="B34" s="20"/>
      <c r="C34" s="20"/>
      <c r="D34" s="20"/>
      <c r="E34" s="20"/>
    </row>
    <row r="35" spans="1:5" ht="52.05" customHeight="1">
      <c r="A35" s="28"/>
      <c r="B35" s="28"/>
      <c r="C35" s="28"/>
      <c r="D35" s="28"/>
      <c r="E35" s="28"/>
    </row>
    <row r="36" spans="1:5" ht="36" customHeight="1">
      <c r="A36" s="30"/>
      <c r="B36" s="30"/>
      <c r="C36" s="30"/>
      <c r="D36" s="30"/>
      <c r="E36" s="30"/>
    </row>
    <row r="37" spans="1:5" ht="37.950000000000003" customHeight="1">
      <c r="A37" s="26" t="s">
        <v>82</v>
      </c>
      <c r="B37" s="26"/>
      <c r="C37" s="26"/>
      <c r="D37" s="26"/>
      <c r="E37" s="26"/>
    </row>
    <row r="38" spans="1:5" ht="34.950000000000003" customHeight="1">
      <c r="A38" s="11" t="s">
        <v>36</v>
      </c>
      <c r="B38" s="11" t="s">
        <v>37</v>
      </c>
      <c r="C38" s="11" t="s">
        <v>38</v>
      </c>
      <c r="D38" s="11" t="s">
        <v>39</v>
      </c>
      <c r="E38" s="11" t="s">
        <v>40</v>
      </c>
    </row>
    <row r="39" spans="1:5" ht="40.049999999999997" customHeight="1">
      <c r="A39" s="12" t="s">
        <v>83</v>
      </c>
      <c r="B39" s="12" t="s">
        <v>84</v>
      </c>
      <c r="C39" s="12">
        <v>8</v>
      </c>
      <c r="D39" s="12" t="s">
        <v>47</v>
      </c>
      <c r="E39" s="12" t="s">
        <v>44</v>
      </c>
    </row>
    <row r="40" spans="1:5" ht="40.049999999999997" customHeight="1">
      <c r="A40" s="12" t="s">
        <v>85</v>
      </c>
      <c r="B40" s="12" t="s">
        <v>86</v>
      </c>
      <c r="C40" s="12">
        <v>6</v>
      </c>
      <c r="D40" s="12" t="s">
        <v>47</v>
      </c>
      <c r="E40" s="12" t="s">
        <v>44</v>
      </c>
    </row>
    <row r="41" spans="1:5" ht="40.049999999999997" customHeight="1">
      <c r="A41" s="12" t="s">
        <v>87</v>
      </c>
      <c r="B41" s="12" t="s">
        <v>88</v>
      </c>
      <c r="C41" s="12">
        <v>6</v>
      </c>
      <c r="D41" s="12" t="s">
        <v>43</v>
      </c>
      <c r="E41" s="12" t="s">
        <v>44</v>
      </c>
    </row>
    <row r="42" spans="1:5" ht="40.049999999999997" customHeight="1">
      <c r="A42" s="12" t="s">
        <v>89</v>
      </c>
      <c r="B42" s="12" t="s">
        <v>90</v>
      </c>
      <c r="C42" s="12">
        <v>4</v>
      </c>
      <c r="D42" s="12" t="s">
        <v>43</v>
      </c>
      <c r="E42" s="12" t="s">
        <v>59</v>
      </c>
    </row>
    <row r="43" spans="1:5" ht="40.049999999999997" customHeight="1">
      <c r="A43" s="12" t="s">
        <v>91</v>
      </c>
      <c r="B43" s="12" t="s">
        <v>92</v>
      </c>
      <c r="C43" s="12">
        <v>6</v>
      </c>
      <c r="D43" s="12" t="s">
        <v>43</v>
      </c>
      <c r="E43" s="12" t="s">
        <v>44</v>
      </c>
    </row>
    <row r="44" spans="1:5" ht="40.049999999999997" customHeight="1">
      <c r="A44" s="12" t="s">
        <v>93</v>
      </c>
      <c r="B44" s="12" t="s">
        <v>94</v>
      </c>
      <c r="C44" s="12">
        <v>4</v>
      </c>
      <c r="D44" s="12" t="s">
        <v>43</v>
      </c>
      <c r="E44" s="12" t="s">
        <v>44</v>
      </c>
    </row>
    <row r="45" spans="1:5" ht="40.049999999999997" customHeight="1">
      <c r="A45" s="12" t="s">
        <v>95</v>
      </c>
      <c r="B45" s="12" t="s">
        <v>96</v>
      </c>
      <c r="C45" s="12">
        <v>4</v>
      </c>
      <c r="D45" s="12" t="s">
        <v>43</v>
      </c>
      <c r="E45" s="12" t="s">
        <v>59</v>
      </c>
    </row>
    <row r="46" spans="1:5" ht="40.049999999999997" customHeight="1">
      <c r="A46" s="12" t="s">
        <v>97</v>
      </c>
      <c r="B46" s="12" t="s">
        <v>98</v>
      </c>
      <c r="C46" s="12">
        <v>4</v>
      </c>
      <c r="D46" s="12" t="s">
        <v>43</v>
      </c>
      <c r="E46" s="12" t="s">
        <v>44</v>
      </c>
    </row>
    <row r="47" spans="1:5" ht="40.049999999999997" customHeight="1">
      <c r="A47" s="12" t="s">
        <v>99</v>
      </c>
      <c r="B47" s="12" t="s">
        <v>100</v>
      </c>
      <c r="C47" s="12">
        <v>8</v>
      </c>
      <c r="D47" s="12" t="s">
        <v>43</v>
      </c>
      <c r="E47" s="12" t="s">
        <v>44</v>
      </c>
    </row>
    <row r="48" spans="1:5" ht="40.049999999999997" customHeight="1">
      <c r="A48" s="12" t="s">
        <v>101</v>
      </c>
      <c r="B48" s="12" t="s">
        <v>102</v>
      </c>
      <c r="C48" s="12">
        <v>6</v>
      </c>
      <c r="D48" s="12" t="s">
        <v>43</v>
      </c>
      <c r="E48" s="12" t="s">
        <v>44</v>
      </c>
    </row>
    <row r="49" spans="1:5" ht="40.049999999999997" customHeight="1">
      <c r="A49" s="12" t="s">
        <v>103</v>
      </c>
      <c r="B49" s="12" t="s">
        <v>104</v>
      </c>
      <c r="C49" s="12">
        <v>6</v>
      </c>
      <c r="D49" s="12" t="s">
        <v>43</v>
      </c>
      <c r="E49" s="12" t="s">
        <v>52</v>
      </c>
    </row>
    <row r="50" spans="1:5" ht="40.049999999999997" customHeight="1">
      <c r="A50" s="12" t="s">
        <v>105</v>
      </c>
      <c r="B50" s="12" t="s">
        <v>106</v>
      </c>
      <c r="C50" s="12">
        <v>4</v>
      </c>
      <c r="D50" s="12" t="s">
        <v>43</v>
      </c>
      <c r="E50" s="12" t="s">
        <v>52</v>
      </c>
    </row>
    <row r="52" spans="1:5" ht="58.05" customHeight="1">
      <c r="A52" s="27" t="s">
        <v>62</v>
      </c>
      <c r="B52" s="27"/>
      <c r="C52" s="27"/>
      <c r="D52" s="27"/>
      <c r="E52" s="27"/>
    </row>
  </sheetData>
  <mergeCells count="8">
    <mergeCell ref="A37:E37"/>
    <mergeCell ref="A52:E52"/>
    <mergeCell ref="A35:E35"/>
    <mergeCell ref="A1:F1"/>
    <mergeCell ref="A2:F2"/>
    <mergeCell ref="A34:E34"/>
    <mergeCell ref="A36:E36"/>
    <mergeCell ref="A33:E3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zoomScale="58" workbookViewId="0">
      <pane ySplit="10" topLeftCell="A28" activePane="bottomLeft" state="frozen"/>
      <selection pane="bottomLeft" activeCell="F28" sqref="F28"/>
    </sheetView>
  </sheetViews>
  <sheetFormatPr baseColWidth="10" defaultColWidth="8.796875" defaultRowHeight="13.8"/>
  <cols>
    <col min="1" max="1" width="18" customWidth="1"/>
    <col min="2" max="2" width="27" customWidth="1"/>
    <col min="3" max="3" width="42" customWidth="1"/>
    <col min="4" max="4" width="32" customWidth="1"/>
    <col min="5" max="5" width="41" customWidth="1"/>
    <col min="6" max="6" width="31" customWidth="1"/>
    <col min="7" max="7" width="54" customWidth="1"/>
    <col min="8" max="8" width="13" customWidth="1"/>
  </cols>
  <sheetData>
    <row r="1" spans="1:7" ht="42" customHeight="1">
      <c r="A1" s="29" t="s">
        <v>107</v>
      </c>
      <c r="B1" s="29"/>
      <c r="C1" s="29"/>
      <c r="D1" s="29"/>
      <c r="E1" s="29"/>
      <c r="F1" s="29"/>
    </row>
    <row r="2" spans="1:7" ht="43.95" customHeight="1">
      <c r="A2" s="22" t="s">
        <v>20</v>
      </c>
      <c r="B2" s="22"/>
      <c r="C2" s="22"/>
      <c r="D2" s="22"/>
      <c r="E2" s="22"/>
      <c r="F2" s="22"/>
    </row>
    <row r="4" spans="1:7" ht="30" customHeight="1">
      <c r="A4" s="4" t="s">
        <v>21</v>
      </c>
      <c r="B4" s="5">
        <v>48</v>
      </c>
    </row>
    <row r="5" spans="1:7" ht="30" customHeight="1">
      <c r="A5" s="4" t="s">
        <v>22</v>
      </c>
      <c r="B5" s="5">
        <v>48</v>
      </c>
    </row>
    <row r="6" spans="1:7" ht="30" customHeight="1">
      <c r="A6" s="4" t="s">
        <v>23</v>
      </c>
      <c r="B6" s="5">
        <v>0</v>
      </c>
    </row>
    <row r="7" spans="1:7" ht="30" customHeight="1">
      <c r="A7" s="4" t="s">
        <v>24</v>
      </c>
      <c r="B7" s="5">
        <v>0</v>
      </c>
    </row>
    <row r="10" spans="1:7" ht="67.05" customHeight="1">
      <c r="A10" s="19" t="s">
        <v>25</v>
      </c>
      <c r="B10" s="19" t="s">
        <v>26</v>
      </c>
      <c r="C10" s="19" t="s">
        <v>27</v>
      </c>
      <c r="D10" s="19" t="s">
        <v>28</v>
      </c>
      <c r="E10" s="19" t="s">
        <v>29</v>
      </c>
      <c r="F10" s="19" t="s">
        <v>30</v>
      </c>
      <c r="G10" s="19" t="s">
        <v>31</v>
      </c>
    </row>
    <row r="11" spans="1:7" ht="28.95" customHeight="1">
      <c r="A11" s="6">
        <v>0</v>
      </c>
      <c r="B11" s="6">
        <v>48</v>
      </c>
      <c r="C11" s="15">
        <v>48</v>
      </c>
      <c r="D11" s="14">
        <v>0</v>
      </c>
      <c r="E11" s="14">
        <v>0</v>
      </c>
      <c r="F11" s="16">
        <v>0</v>
      </c>
      <c r="G11" s="6" t="s">
        <v>32</v>
      </c>
    </row>
    <row r="12" spans="1:7" ht="28.95" customHeight="1">
      <c r="A12" s="7">
        <v>1</v>
      </c>
      <c r="B12" s="7">
        <v>45.6</v>
      </c>
      <c r="C12" s="13">
        <v>48</v>
      </c>
      <c r="D12" s="14">
        <v>2.4</v>
      </c>
      <c r="E12" s="14">
        <v>2.4</v>
      </c>
      <c r="F12" s="16">
        <v>0</v>
      </c>
      <c r="G12" s="6" t="s">
        <v>33</v>
      </c>
    </row>
    <row r="13" spans="1:7" ht="28.95" customHeight="1">
      <c r="A13" s="6">
        <v>2</v>
      </c>
      <c r="B13" s="6">
        <v>43.2</v>
      </c>
      <c r="C13" s="13">
        <v>48</v>
      </c>
      <c r="D13" s="14">
        <v>4.8</v>
      </c>
      <c r="E13" s="14">
        <v>4.8</v>
      </c>
      <c r="F13" s="16">
        <v>1</v>
      </c>
      <c r="G13" s="6" t="s">
        <v>33</v>
      </c>
    </row>
    <row r="14" spans="1:7" ht="28.95" customHeight="1">
      <c r="A14" s="7">
        <v>3</v>
      </c>
      <c r="B14" s="7">
        <v>40.799999999999997</v>
      </c>
      <c r="C14" s="13">
        <v>48</v>
      </c>
      <c r="D14" s="14">
        <v>7.2</v>
      </c>
      <c r="E14" s="14">
        <v>7.2</v>
      </c>
      <c r="F14" s="16">
        <v>0</v>
      </c>
      <c r="G14" s="6" t="s">
        <v>33</v>
      </c>
    </row>
    <row r="15" spans="1:7" ht="28.95" customHeight="1">
      <c r="A15" s="6">
        <v>4</v>
      </c>
      <c r="B15" s="6">
        <v>38.4</v>
      </c>
      <c r="C15" s="13">
        <v>48</v>
      </c>
      <c r="D15" s="14">
        <v>9.6</v>
      </c>
      <c r="E15" s="14">
        <v>9.6</v>
      </c>
      <c r="F15" s="16">
        <v>2</v>
      </c>
      <c r="G15" s="6" t="s">
        <v>33</v>
      </c>
    </row>
    <row r="16" spans="1:7" ht="28.95" customHeight="1">
      <c r="A16" s="7">
        <v>5</v>
      </c>
      <c r="B16" s="7">
        <v>36</v>
      </c>
      <c r="C16" s="13">
        <v>48</v>
      </c>
      <c r="D16" s="14">
        <v>12</v>
      </c>
      <c r="E16" s="14">
        <v>12</v>
      </c>
      <c r="F16" s="16">
        <v>1</v>
      </c>
      <c r="G16" s="6" t="s">
        <v>33</v>
      </c>
    </row>
    <row r="17" spans="1:7" ht="28.95" customHeight="1">
      <c r="A17" s="6">
        <v>6</v>
      </c>
      <c r="B17" s="6">
        <v>33.6</v>
      </c>
      <c r="C17" s="13">
        <v>48</v>
      </c>
      <c r="D17" s="14">
        <v>14.4</v>
      </c>
      <c r="E17" s="14">
        <v>14.4</v>
      </c>
      <c r="F17" s="16">
        <v>0</v>
      </c>
      <c r="G17" s="6" t="s">
        <v>33</v>
      </c>
    </row>
    <row r="18" spans="1:7" ht="28.95" customHeight="1">
      <c r="A18" s="7">
        <v>7</v>
      </c>
      <c r="B18" s="7">
        <v>31.2</v>
      </c>
      <c r="C18" s="13">
        <v>48</v>
      </c>
      <c r="D18" s="14">
        <v>16.8</v>
      </c>
      <c r="E18" s="14">
        <v>16.8</v>
      </c>
      <c r="F18" s="16">
        <v>0</v>
      </c>
      <c r="G18" s="6" t="s">
        <v>33</v>
      </c>
    </row>
    <row r="19" spans="1:7" ht="28.95" customHeight="1">
      <c r="A19" s="6">
        <v>8</v>
      </c>
      <c r="B19" s="6">
        <v>28.8</v>
      </c>
      <c r="C19" s="13">
        <v>48</v>
      </c>
      <c r="D19" s="14">
        <v>19.2</v>
      </c>
      <c r="E19" s="14">
        <v>19.2</v>
      </c>
      <c r="F19" s="16">
        <v>1</v>
      </c>
      <c r="G19" s="6" t="s">
        <v>33</v>
      </c>
    </row>
    <row r="20" spans="1:7" ht="28.95" customHeight="1">
      <c r="A20" s="7">
        <v>9</v>
      </c>
      <c r="B20" s="7">
        <v>26.4</v>
      </c>
      <c r="C20" s="13">
        <v>48</v>
      </c>
      <c r="D20" s="14">
        <v>21.6</v>
      </c>
      <c r="E20" s="14">
        <v>21.6</v>
      </c>
      <c r="F20" s="16">
        <v>0</v>
      </c>
      <c r="G20" s="6" t="s">
        <v>33</v>
      </c>
    </row>
    <row r="21" spans="1:7" ht="28.95" customHeight="1">
      <c r="A21" s="6">
        <v>10</v>
      </c>
      <c r="B21" s="6">
        <v>24</v>
      </c>
      <c r="C21" s="13">
        <v>48</v>
      </c>
      <c r="D21" s="14">
        <v>24</v>
      </c>
      <c r="E21" s="14">
        <v>24</v>
      </c>
      <c r="F21" s="16">
        <v>1</v>
      </c>
      <c r="G21" s="6" t="s">
        <v>33</v>
      </c>
    </row>
    <row r="22" spans="1:7" ht="28.95" customHeight="1">
      <c r="A22" s="7">
        <v>11</v>
      </c>
      <c r="B22" s="7">
        <v>21.6</v>
      </c>
      <c r="C22" s="13">
        <v>48</v>
      </c>
      <c r="D22" s="14">
        <v>26.4</v>
      </c>
      <c r="E22" s="14">
        <v>26.4</v>
      </c>
      <c r="F22" s="16">
        <v>0</v>
      </c>
      <c r="G22" s="6" t="s">
        <v>33</v>
      </c>
    </row>
    <row r="23" spans="1:7" ht="28.95" customHeight="1">
      <c r="A23" s="6">
        <v>12</v>
      </c>
      <c r="B23" s="6">
        <v>19.2</v>
      </c>
      <c r="C23" s="13">
        <v>48</v>
      </c>
      <c r="D23" s="14">
        <v>28.8</v>
      </c>
      <c r="E23" s="14">
        <v>28.8</v>
      </c>
      <c r="F23" s="16">
        <v>1</v>
      </c>
      <c r="G23" s="6" t="s">
        <v>33</v>
      </c>
    </row>
    <row r="24" spans="1:7" ht="28.95" customHeight="1">
      <c r="A24" s="7">
        <v>13</v>
      </c>
      <c r="B24" s="7">
        <v>16.8</v>
      </c>
      <c r="C24" s="13">
        <v>48</v>
      </c>
      <c r="D24" s="14">
        <v>31.2</v>
      </c>
      <c r="E24" s="14">
        <v>31.2</v>
      </c>
      <c r="F24" s="16">
        <v>0</v>
      </c>
      <c r="G24" s="6" t="s">
        <v>33</v>
      </c>
    </row>
    <row r="25" spans="1:7" ht="28.95" customHeight="1">
      <c r="A25" s="6">
        <v>14</v>
      </c>
      <c r="B25" s="6">
        <v>14.4</v>
      </c>
      <c r="C25" s="13">
        <v>48</v>
      </c>
      <c r="D25" s="14">
        <v>33.6</v>
      </c>
      <c r="E25" s="14">
        <v>33.6</v>
      </c>
      <c r="F25" s="16">
        <v>2</v>
      </c>
      <c r="G25" s="6" t="s">
        <v>33</v>
      </c>
    </row>
    <row r="26" spans="1:7" ht="28.95" customHeight="1">
      <c r="A26" s="7">
        <v>15</v>
      </c>
      <c r="B26" s="7">
        <v>12</v>
      </c>
      <c r="C26" s="13">
        <v>48</v>
      </c>
      <c r="D26" s="14">
        <v>36</v>
      </c>
      <c r="E26" s="14">
        <v>36</v>
      </c>
      <c r="F26" s="16">
        <v>0</v>
      </c>
      <c r="G26" s="6" t="s">
        <v>33</v>
      </c>
    </row>
    <row r="27" spans="1:7" ht="28.95" customHeight="1">
      <c r="A27" s="6">
        <v>16</v>
      </c>
      <c r="B27" s="6">
        <v>9.6</v>
      </c>
      <c r="C27" s="13">
        <v>48</v>
      </c>
      <c r="D27" s="14">
        <v>38.4</v>
      </c>
      <c r="E27" s="14">
        <v>38.4</v>
      </c>
      <c r="F27" s="16">
        <v>1</v>
      </c>
      <c r="G27" s="6" t="s">
        <v>33</v>
      </c>
    </row>
    <row r="28" spans="1:7" ht="28.95" customHeight="1">
      <c r="A28" s="7">
        <v>17</v>
      </c>
      <c r="B28" s="7">
        <v>7.2</v>
      </c>
      <c r="C28" s="13">
        <v>48</v>
      </c>
      <c r="D28" s="14">
        <v>40.799999999999997</v>
      </c>
      <c r="E28" s="14">
        <v>40.799999999999997</v>
      </c>
      <c r="F28" s="16">
        <v>0</v>
      </c>
      <c r="G28" s="6" t="s">
        <v>33</v>
      </c>
    </row>
    <row r="29" spans="1:7" ht="28.95" customHeight="1">
      <c r="A29" s="6">
        <v>18</v>
      </c>
      <c r="B29" s="6">
        <v>4.8</v>
      </c>
      <c r="C29" s="13">
        <v>48</v>
      </c>
      <c r="D29" s="14">
        <v>43.2</v>
      </c>
      <c r="E29" s="14">
        <v>43.2</v>
      </c>
      <c r="F29" s="16">
        <v>1</v>
      </c>
      <c r="G29" s="6" t="s">
        <v>33</v>
      </c>
    </row>
    <row r="30" spans="1:7" ht="28.95" customHeight="1">
      <c r="A30" s="7">
        <v>19</v>
      </c>
      <c r="B30" s="7">
        <v>2.4</v>
      </c>
      <c r="C30" s="13">
        <v>48</v>
      </c>
      <c r="D30" s="14">
        <v>45.6</v>
      </c>
      <c r="E30" s="14">
        <v>45.6</v>
      </c>
      <c r="F30" s="16">
        <v>0</v>
      </c>
      <c r="G30" s="6" t="s">
        <v>33</v>
      </c>
    </row>
    <row r="31" spans="1:7" ht="28.95" customHeight="1">
      <c r="A31" s="6">
        <v>20</v>
      </c>
      <c r="B31" s="6">
        <v>0</v>
      </c>
      <c r="C31" s="15">
        <v>48</v>
      </c>
      <c r="D31" s="14">
        <v>48</v>
      </c>
      <c r="E31" s="14">
        <v>48</v>
      </c>
      <c r="F31" s="16">
        <v>1</v>
      </c>
      <c r="G31" s="6" t="s">
        <v>34</v>
      </c>
    </row>
    <row r="33" spans="1:5" ht="51" customHeight="1">
      <c r="A33" s="31"/>
      <c r="B33" s="31"/>
      <c r="C33" s="31"/>
      <c r="D33" s="31"/>
      <c r="E33" s="31"/>
    </row>
    <row r="34" spans="1:5" ht="64.95" customHeight="1">
      <c r="A34" s="20"/>
      <c r="B34" s="20"/>
      <c r="C34" s="20"/>
      <c r="D34" s="20"/>
      <c r="E34" s="20"/>
    </row>
    <row r="35" spans="1:5" ht="52.05" customHeight="1">
      <c r="A35" s="28"/>
      <c r="B35" s="28"/>
      <c r="C35" s="28"/>
      <c r="D35" s="28"/>
      <c r="E35" s="28"/>
    </row>
    <row r="36" spans="1:5" ht="36" customHeight="1">
      <c r="A36" s="30"/>
      <c r="B36" s="30"/>
      <c r="C36" s="30"/>
      <c r="D36" s="30"/>
      <c r="E36" s="30"/>
    </row>
    <row r="37" spans="1:5" ht="37.950000000000003" customHeight="1">
      <c r="A37" s="26" t="s">
        <v>108</v>
      </c>
      <c r="B37" s="26"/>
      <c r="C37" s="26"/>
      <c r="D37" s="26"/>
      <c r="E37" s="26"/>
    </row>
    <row r="38" spans="1:5" ht="34.950000000000003" customHeight="1">
      <c r="A38" s="11" t="s">
        <v>36</v>
      </c>
      <c r="B38" s="11" t="s">
        <v>37</v>
      </c>
      <c r="C38" s="11" t="s">
        <v>38</v>
      </c>
      <c r="D38" s="11" t="s">
        <v>39</v>
      </c>
      <c r="E38" s="11" t="s">
        <v>40</v>
      </c>
    </row>
    <row r="39" spans="1:5" ht="40.049999999999997" customHeight="1">
      <c r="A39" s="12" t="s">
        <v>109</v>
      </c>
      <c r="B39" s="12" t="s">
        <v>110</v>
      </c>
      <c r="C39" s="12">
        <v>6</v>
      </c>
      <c r="D39" s="12" t="s">
        <v>43</v>
      </c>
      <c r="E39" s="12" t="s">
        <v>59</v>
      </c>
    </row>
    <row r="40" spans="1:5" ht="40.049999999999997" customHeight="1">
      <c r="A40" s="12" t="s">
        <v>111</v>
      </c>
      <c r="B40" s="12" t="s">
        <v>112</v>
      </c>
      <c r="C40" s="12">
        <v>6</v>
      </c>
      <c r="D40" s="12" t="s">
        <v>43</v>
      </c>
      <c r="E40" s="12" t="s">
        <v>59</v>
      </c>
    </row>
    <row r="41" spans="1:5" ht="40.049999999999997" customHeight="1">
      <c r="A41" s="12" t="s">
        <v>113</v>
      </c>
      <c r="B41" s="12" t="s">
        <v>114</v>
      </c>
      <c r="C41" s="12">
        <v>6</v>
      </c>
      <c r="D41" s="12" t="s">
        <v>43</v>
      </c>
      <c r="E41" s="12" t="s">
        <v>59</v>
      </c>
    </row>
    <row r="42" spans="1:5" ht="40.049999999999997" customHeight="1">
      <c r="A42" s="12" t="s">
        <v>115</v>
      </c>
      <c r="B42" s="12" t="s">
        <v>116</v>
      </c>
      <c r="C42" s="12">
        <v>4</v>
      </c>
      <c r="D42" s="12" t="s">
        <v>43</v>
      </c>
      <c r="E42" s="12" t="s">
        <v>59</v>
      </c>
    </row>
    <row r="43" spans="1:5" ht="40.049999999999997" customHeight="1">
      <c r="A43" s="12" t="s">
        <v>117</v>
      </c>
      <c r="B43" s="12" t="s">
        <v>118</v>
      </c>
      <c r="C43" s="12">
        <v>6</v>
      </c>
      <c r="D43" s="12" t="s">
        <v>43</v>
      </c>
      <c r="E43" s="12" t="s">
        <v>52</v>
      </c>
    </row>
    <row r="44" spans="1:5" ht="40.049999999999997" customHeight="1">
      <c r="A44" s="12" t="s">
        <v>119</v>
      </c>
      <c r="B44" s="12" t="s">
        <v>120</v>
      </c>
      <c r="C44" s="12">
        <v>8</v>
      </c>
      <c r="D44" s="12" t="s">
        <v>43</v>
      </c>
      <c r="E44" s="12" t="s">
        <v>52</v>
      </c>
    </row>
    <row r="45" spans="1:5" ht="40.049999999999997" customHeight="1">
      <c r="A45" s="12" t="s">
        <v>121</v>
      </c>
      <c r="B45" s="12" t="s">
        <v>122</v>
      </c>
      <c r="C45" s="12">
        <v>6</v>
      </c>
      <c r="D45" s="12" t="s">
        <v>43</v>
      </c>
      <c r="E45" s="12" t="s">
        <v>52</v>
      </c>
    </row>
    <row r="46" spans="1:5" ht="40.049999999999997" customHeight="1">
      <c r="A46" s="12" t="s">
        <v>123</v>
      </c>
      <c r="B46" s="12" t="s">
        <v>124</v>
      </c>
      <c r="C46" s="12">
        <v>6</v>
      </c>
      <c r="D46" s="12" t="s">
        <v>43</v>
      </c>
      <c r="E46" s="12" t="s">
        <v>52</v>
      </c>
    </row>
    <row r="48" spans="1:5" ht="58.05" customHeight="1">
      <c r="A48" s="27" t="s">
        <v>62</v>
      </c>
      <c r="B48" s="27"/>
      <c r="C48" s="27"/>
      <c r="D48" s="27"/>
      <c r="E48" s="27"/>
    </row>
  </sheetData>
  <mergeCells count="8">
    <mergeCell ref="A37:E37"/>
    <mergeCell ref="A48:E48"/>
    <mergeCell ref="A35:E35"/>
    <mergeCell ref="A1:F1"/>
    <mergeCell ref="A2:F2"/>
    <mergeCell ref="A34:E34"/>
    <mergeCell ref="A36:E36"/>
    <mergeCell ref="A33:E3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3" topLeftCell="A4" activePane="bottomLeft" state="frozen"/>
      <selection pane="bottomLeft" sqref="A1:D1"/>
    </sheetView>
  </sheetViews>
  <sheetFormatPr baseColWidth="10" defaultColWidth="8.796875" defaultRowHeight="13.8"/>
  <cols>
    <col min="1" max="1" width="43" customWidth="1"/>
    <col min="2" max="2" width="34" customWidth="1"/>
    <col min="3" max="3" width="60" customWidth="1"/>
    <col min="4" max="4" width="62" customWidth="1"/>
  </cols>
  <sheetData>
    <row r="1" spans="1:4" ht="45" customHeight="1">
      <c r="A1" s="32" t="s">
        <v>125</v>
      </c>
      <c r="B1" s="32"/>
      <c r="C1" s="32"/>
      <c r="D1" s="32"/>
    </row>
    <row r="3" spans="1:4" ht="34.950000000000003" customHeight="1">
      <c r="A3" s="8" t="s">
        <v>126</v>
      </c>
      <c r="B3" s="8" t="s">
        <v>127</v>
      </c>
      <c r="C3" s="8" t="s">
        <v>128</v>
      </c>
      <c r="D3" s="8" t="s">
        <v>129</v>
      </c>
    </row>
    <row r="4" spans="1:4" ht="85.05" customHeight="1">
      <c r="A4" s="9" t="s">
        <v>130</v>
      </c>
      <c r="B4" s="9" t="s">
        <v>131</v>
      </c>
      <c r="C4" s="9" t="s">
        <v>132</v>
      </c>
      <c r="D4" s="9" t="s">
        <v>133</v>
      </c>
    </row>
    <row r="5" spans="1:4" ht="85.05" customHeight="1">
      <c r="A5" s="9" t="s">
        <v>134</v>
      </c>
      <c r="B5" s="9" t="s">
        <v>135</v>
      </c>
      <c r="C5" s="9" t="s">
        <v>136</v>
      </c>
      <c r="D5" s="9" t="s">
        <v>137</v>
      </c>
    </row>
    <row r="6" spans="1:4" ht="85.05" customHeight="1">
      <c r="A6" s="9" t="s">
        <v>138</v>
      </c>
      <c r="B6" s="9" t="s">
        <v>139</v>
      </c>
      <c r="C6" s="9" t="s">
        <v>140</v>
      </c>
      <c r="D6" s="9" t="s">
        <v>141</v>
      </c>
    </row>
    <row r="7" spans="1:4" ht="85.05" customHeight="1">
      <c r="A7" s="9" t="s">
        <v>142</v>
      </c>
      <c r="B7" s="9" t="s">
        <v>143</v>
      </c>
      <c r="C7" s="9" t="s">
        <v>144</v>
      </c>
      <c r="D7" s="9" t="s">
        <v>145</v>
      </c>
    </row>
    <row r="9" spans="1:4" ht="61.95" customHeight="1">
      <c r="A9" s="20" t="s">
        <v>146</v>
      </c>
      <c r="B9" s="20"/>
      <c r="C9" s="20"/>
      <c r="D9" s="20"/>
    </row>
  </sheetData>
  <mergeCells count="2">
    <mergeCell ref="A1:D1"/>
    <mergeCell ref="A9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4" topLeftCell="A34" activePane="bottomLeft" state="frozen"/>
      <selection pane="bottomLeft" sqref="A1:I1"/>
    </sheetView>
  </sheetViews>
  <sheetFormatPr baseColWidth="10" defaultColWidth="8.796875" defaultRowHeight="13.8"/>
  <cols>
    <col min="1" max="1" width="15" customWidth="1"/>
    <col min="2" max="2" width="17" customWidth="1"/>
    <col min="3" max="3" width="19" customWidth="1"/>
    <col min="4" max="4" width="71" customWidth="1"/>
    <col min="5" max="5" width="27" customWidth="1"/>
    <col min="6" max="6" width="21" customWidth="1"/>
    <col min="7" max="7" width="20" customWidth="1"/>
    <col min="8" max="9" width="27" customWidth="1"/>
  </cols>
  <sheetData>
    <row r="1" spans="1:9" ht="43.05" customHeight="1">
      <c r="A1" s="33" t="s">
        <v>147</v>
      </c>
      <c r="B1" s="33"/>
      <c r="C1" s="33"/>
      <c r="D1" s="33"/>
      <c r="E1" s="33"/>
      <c r="F1" s="33"/>
      <c r="G1" s="33"/>
      <c r="H1" s="33"/>
      <c r="I1" s="33"/>
    </row>
    <row r="2" spans="1:9" ht="43.05" customHeight="1">
      <c r="A2" s="34" t="s">
        <v>148</v>
      </c>
      <c r="B2" s="34"/>
      <c r="C2" s="34"/>
      <c r="D2" s="34"/>
      <c r="E2" s="34"/>
      <c r="F2" s="34"/>
      <c r="G2" s="34"/>
      <c r="H2" s="34"/>
      <c r="I2" s="34"/>
    </row>
    <row r="4" spans="1:9" ht="46.95" customHeight="1">
      <c r="A4" s="10" t="s">
        <v>2</v>
      </c>
      <c r="B4" s="10" t="s">
        <v>149</v>
      </c>
      <c r="C4" s="10" t="s">
        <v>150</v>
      </c>
      <c r="D4" s="10" t="s">
        <v>37</v>
      </c>
      <c r="E4" s="10" t="s">
        <v>40</v>
      </c>
      <c r="F4" s="10" t="s">
        <v>151</v>
      </c>
      <c r="G4" s="10" t="s">
        <v>39</v>
      </c>
      <c r="H4" s="10" t="s">
        <v>152</v>
      </c>
      <c r="I4" s="10" t="s">
        <v>7</v>
      </c>
    </row>
    <row r="5" spans="1:9" ht="34.049999999999997" customHeight="1">
      <c r="A5" s="12" t="s">
        <v>8</v>
      </c>
      <c r="B5" s="12" t="s">
        <v>153</v>
      </c>
      <c r="C5" s="12" t="s">
        <v>41</v>
      </c>
      <c r="D5" s="12" t="s">
        <v>42</v>
      </c>
      <c r="E5" s="12" t="s">
        <v>44</v>
      </c>
      <c r="F5" s="12">
        <v>6</v>
      </c>
      <c r="G5" s="12" t="s">
        <v>43</v>
      </c>
      <c r="H5" s="12">
        <f t="shared" ref="H5:H40" si="0">IF(G5="Terminado",F5,0)</f>
        <v>0</v>
      </c>
      <c r="I5" s="12">
        <f t="shared" ref="I5:I40" si="1">IF(G5="Pendiente",F5,0)</f>
        <v>6</v>
      </c>
    </row>
    <row r="6" spans="1:9" ht="34.049999999999997" customHeight="1">
      <c r="A6" s="12" t="s">
        <v>8</v>
      </c>
      <c r="B6" s="12" t="s">
        <v>153</v>
      </c>
      <c r="C6" s="12" t="s">
        <v>45</v>
      </c>
      <c r="D6" s="12" t="s">
        <v>46</v>
      </c>
      <c r="E6" s="12" t="s">
        <v>44</v>
      </c>
      <c r="F6" s="12">
        <v>6</v>
      </c>
      <c r="G6" s="12" t="s">
        <v>47</v>
      </c>
      <c r="H6" s="12">
        <f t="shared" si="0"/>
        <v>6</v>
      </c>
      <c r="I6" s="12">
        <f t="shared" si="1"/>
        <v>0</v>
      </c>
    </row>
    <row r="7" spans="1:9" ht="34.049999999999997" customHeight="1">
      <c r="A7" s="12" t="s">
        <v>8</v>
      </c>
      <c r="B7" s="12" t="s">
        <v>153</v>
      </c>
      <c r="C7" s="12" t="s">
        <v>48</v>
      </c>
      <c r="D7" s="12" t="s">
        <v>49</v>
      </c>
      <c r="E7" s="12" t="s">
        <v>44</v>
      </c>
      <c r="F7" s="12">
        <v>8</v>
      </c>
      <c r="G7" s="12" t="s">
        <v>43</v>
      </c>
      <c r="H7" s="12">
        <f t="shared" si="0"/>
        <v>0</v>
      </c>
      <c r="I7" s="12">
        <f t="shared" si="1"/>
        <v>8</v>
      </c>
    </row>
    <row r="8" spans="1:9" ht="34.049999999999997" customHeight="1">
      <c r="A8" s="12" t="s">
        <v>8</v>
      </c>
      <c r="B8" s="12" t="s">
        <v>153</v>
      </c>
      <c r="C8" s="12" t="s">
        <v>50</v>
      </c>
      <c r="D8" s="12" t="s">
        <v>51</v>
      </c>
      <c r="E8" s="12" t="s">
        <v>52</v>
      </c>
      <c r="F8" s="12">
        <v>4</v>
      </c>
      <c r="G8" s="12" t="s">
        <v>43</v>
      </c>
      <c r="H8" s="12">
        <f t="shared" si="0"/>
        <v>0</v>
      </c>
      <c r="I8" s="12">
        <f t="shared" si="1"/>
        <v>4</v>
      </c>
    </row>
    <row r="9" spans="1:9" ht="34.049999999999997" customHeight="1">
      <c r="A9" s="12" t="s">
        <v>8</v>
      </c>
      <c r="B9" s="12" t="s">
        <v>154</v>
      </c>
      <c r="C9" s="12" t="s">
        <v>53</v>
      </c>
      <c r="D9" s="12" t="s">
        <v>54</v>
      </c>
      <c r="E9" s="12" t="s">
        <v>44</v>
      </c>
      <c r="F9" s="12">
        <v>5</v>
      </c>
      <c r="G9" s="12" t="s">
        <v>43</v>
      </c>
      <c r="H9" s="12">
        <f t="shared" si="0"/>
        <v>0</v>
      </c>
      <c r="I9" s="12">
        <f t="shared" si="1"/>
        <v>5</v>
      </c>
    </row>
    <row r="10" spans="1:9" ht="34.049999999999997" customHeight="1">
      <c r="A10" s="12" t="s">
        <v>8</v>
      </c>
      <c r="B10" s="12" t="s">
        <v>154</v>
      </c>
      <c r="C10" s="12" t="s">
        <v>55</v>
      </c>
      <c r="D10" s="12" t="s">
        <v>56</v>
      </c>
      <c r="E10" s="12" t="s">
        <v>52</v>
      </c>
      <c r="F10" s="12">
        <v>3</v>
      </c>
      <c r="G10" s="12" t="s">
        <v>43</v>
      </c>
      <c r="H10" s="12">
        <f t="shared" si="0"/>
        <v>0</v>
      </c>
      <c r="I10" s="12">
        <f t="shared" si="1"/>
        <v>3</v>
      </c>
    </row>
    <row r="11" spans="1:9" ht="34.049999999999997" customHeight="1">
      <c r="A11" s="12" t="s">
        <v>8</v>
      </c>
      <c r="B11" s="12" t="s">
        <v>154</v>
      </c>
      <c r="C11" s="12" t="s">
        <v>57</v>
      </c>
      <c r="D11" s="12" t="s">
        <v>58</v>
      </c>
      <c r="E11" s="12" t="s">
        <v>59</v>
      </c>
      <c r="F11" s="12">
        <v>8</v>
      </c>
      <c r="G11" s="12" t="s">
        <v>43</v>
      </c>
      <c r="H11" s="12">
        <f t="shared" si="0"/>
        <v>0</v>
      </c>
      <c r="I11" s="12">
        <f t="shared" si="1"/>
        <v>8</v>
      </c>
    </row>
    <row r="12" spans="1:9" ht="34.049999999999997" customHeight="1">
      <c r="A12" s="12" t="s">
        <v>8</v>
      </c>
      <c r="B12" s="12" t="s">
        <v>154</v>
      </c>
      <c r="C12" s="12" t="s">
        <v>60</v>
      </c>
      <c r="D12" s="12" t="s">
        <v>61</v>
      </c>
      <c r="E12" s="12" t="s">
        <v>59</v>
      </c>
      <c r="F12" s="12">
        <v>4</v>
      </c>
      <c r="G12" s="12" t="s">
        <v>47</v>
      </c>
      <c r="H12" s="12">
        <f t="shared" si="0"/>
        <v>4</v>
      </c>
      <c r="I12" s="12">
        <f t="shared" si="1"/>
        <v>0</v>
      </c>
    </row>
    <row r="13" spans="1:9" ht="34.049999999999997" customHeight="1">
      <c r="A13" s="12" t="s">
        <v>9</v>
      </c>
      <c r="B13" s="12" t="s">
        <v>155</v>
      </c>
      <c r="C13" s="12" t="s">
        <v>65</v>
      </c>
      <c r="D13" s="12" t="s">
        <v>66</v>
      </c>
      <c r="E13" s="12" t="s">
        <v>59</v>
      </c>
      <c r="F13" s="12">
        <v>8</v>
      </c>
      <c r="G13" s="12" t="s">
        <v>47</v>
      </c>
      <c r="H13" s="12">
        <f t="shared" si="0"/>
        <v>8</v>
      </c>
      <c r="I13" s="12">
        <f t="shared" si="1"/>
        <v>0</v>
      </c>
    </row>
    <row r="14" spans="1:9" ht="34.049999999999997" customHeight="1">
      <c r="A14" s="12" t="s">
        <v>9</v>
      </c>
      <c r="B14" s="12" t="s">
        <v>155</v>
      </c>
      <c r="C14" s="12" t="s">
        <v>67</v>
      </c>
      <c r="D14" s="12" t="s">
        <v>68</v>
      </c>
      <c r="E14" s="12" t="s">
        <v>59</v>
      </c>
      <c r="F14" s="12">
        <v>8</v>
      </c>
      <c r="G14" s="12" t="s">
        <v>47</v>
      </c>
      <c r="H14" s="12">
        <f t="shared" si="0"/>
        <v>8</v>
      </c>
      <c r="I14" s="12">
        <f t="shared" si="1"/>
        <v>0</v>
      </c>
    </row>
    <row r="15" spans="1:9" ht="34.049999999999997" customHeight="1">
      <c r="A15" s="12" t="s">
        <v>9</v>
      </c>
      <c r="B15" s="12" t="s">
        <v>155</v>
      </c>
      <c r="C15" s="12" t="s">
        <v>69</v>
      </c>
      <c r="D15" s="12" t="s">
        <v>70</v>
      </c>
      <c r="E15" s="12" t="s">
        <v>59</v>
      </c>
      <c r="F15" s="12">
        <v>8</v>
      </c>
      <c r="G15" s="12" t="s">
        <v>47</v>
      </c>
      <c r="H15" s="12">
        <f t="shared" si="0"/>
        <v>8</v>
      </c>
      <c r="I15" s="12">
        <f t="shared" si="1"/>
        <v>0</v>
      </c>
    </row>
    <row r="16" spans="1:9" ht="34.049999999999997" customHeight="1">
      <c r="A16" s="12" t="s">
        <v>9</v>
      </c>
      <c r="B16" s="12" t="s">
        <v>155</v>
      </c>
      <c r="C16" s="12" t="s">
        <v>71</v>
      </c>
      <c r="D16" s="12" t="s">
        <v>72</v>
      </c>
      <c r="E16" s="12" t="s">
        <v>59</v>
      </c>
      <c r="F16" s="12">
        <v>6</v>
      </c>
      <c r="G16" s="12" t="s">
        <v>47</v>
      </c>
      <c r="H16" s="12">
        <f t="shared" si="0"/>
        <v>6</v>
      </c>
      <c r="I16" s="12">
        <f t="shared" si="1"/>
        <v>0</v>
      </c>
    </row>
    <row r="17" spans="1:9" ht="34.049999999999997" customHeight="1">
      <c r="A17" s="12" t="s">
        <v>9</v>
      </c>
      <c r="B17" s="12" t="s">
        <v>156</v>
      </c>
      <c r="C17" s="12" t="s">
        <v>73</v>
      </c>
      <c r="D17" s="12" t="s">
        <v>74</v>
      </c>
      <c r="E17" s="12" t="s">
        <v>44</v>
      </c>
      <c r="F17" s="12">
        <v>6</v>
      </c>
      <c r="G17" s="12" t="s">
        <v>43</v>
      </c>
      <c r="H17" s="12">
        <f t="shared" si="0"/>
        <v>0</v>
      </c>
      <c r="I17" s="12">
        <f t="shared" si="1"/>
        <v>6</v>
      </c>
    </row>
    <row r="18" spans="1:9" ht="34.049999999999997" customHeight="1">
      <c r="A18" s="12" t="s">
        <v>9</v>
      </c>
      <c r="B18" s="12" t="s">
        <v>156</v>
      </c>
      <c r="C18" s="12" t="s">
        <v>75</v>
      </c>
      <c r="D18" s="12" t="s">
        <v>76</v>
      </c>
      <c r="E18" s="12" t="s">
        <v>44</v>
      </c>
      <c r="F18" s="12">
        <v>6</v>
      </c>
      <c r="G18" s="12" t="s">
        <v>47</v>
      </c>
      <c r="H18" s="12">
        <f t="shared" si="0"/>
        <v>6</v>
      </c>
      <c r="I18" s="12">
        <f t="shared" si="1"/>
        <v>0</v>
      </c>
    </row>
    <row r="19" spans="1:9" ht="34.049999999999997" customHeight="1">
      <c r="A19" s="12" t="s">
        <v>9</v>
      </c>
      <c r="B19" s="12" t="s">
        <v>156</v>
      </c>
      <c r="C19" s="12" t="s">
        <v>77</v>
      </c>
      <c r="D19" s="12" t="s">
        <v>78</v>
      </c>
      <c r="E19" s="12" t="s">
        <v>59</v>
      </c>
      <c r="F19" s="12">
        <v>8</v>
      </c>
      <c r="G19" s="12" t="s">
        <v>43</v>
      </c>
      <c r="H19" s="12">
        <f t="shared" si="0"/>
        <v>0</v>
      </c>
      <c r="I19" s="12">
        <f t="shared" si="1"/>
        <v>8</v>
      </c>
    </row>
    <row r="20" spans="1:9" ht="34.049999999999997" customHeight="1">
      <c r="A20" s="12" t="s">
        <v>9</v>
      </c>
      <c r="B20" s="12" t="s">
        <v>156</v>
      </c>
      <c r="C20" s="12" t="s">
        <v>79</v>
      </c>
      <c r="D20" s="12" t="s">
        <v>80</v>
      </c>
      <c r="E20" s="12" t="s">
        <v>44</v>
      </c>
      <c r="F20" s="12">
        <v>4</v>
      </c>
      <c r="G20" s="12" t="s">
        <v>47</v>
      </c>
      <c r="H20" s="12">
        <f t="shared" si="0"/>
        <v>4</v>
      </c>
      <c r="I20" s="12">
        <f t="shared" si="1"/>
        <v>0</v>
      </c>
    </row>
    <row r="21" spans="1:9" ht="34.049999999999997" customHeight="1">
      <c r="A21" s="12" t="s">
        <v>10</v>
      </c>
      <c r="B21" s="12" t="s">
        <v>157</v>
      </c>
      <c r="C21" s="12" t="s">
        <v>83</v>
      </c>
      <c r="D21" s="12" t="s">
        <v>84</v>
      </c>
      <c r="E21" s="12" t="s">
        <v>44</v>
      </c>
      <c r="F21" s="12">
        <v>8</v>
      </c>
      <c r="G21" s="12" t="s">
        <v>47</v>
      </c>
      <c r="H21" s="12">
        <f t="shared" si="0"/>
        <v>8</v>
      </c>
      <c r="I21" s="12">
        <f t="shared" si="1"/>
        <v>0</v>
      </c>
    </row>
    <row r="22" spans="1:9" ht="34.049999999999997" customHeight="1">
      <c r="A22" s="12" t="s">
        <v>10</v>
      </c>
      <c r="B22" s="12" t="s">
        <v>157</v>
      </c>
      <c r="C22" s="12" t="s">
        <v>85</v>
      </c>
      <c r="D22" s="12" t="s">
        <v>86</v>
      </c>
      <c r="E22" s="12" t="s">
        <v>44</v>
      </c>
      <c r="F22" s="12">
        <v>6</v>
      </c>
      <c r="G22" s="12" t="s">
        <v>47</v>
      </c>
      <c r="H22" s="12">
        <f t="shared" si="0"/>
        <v>6</v>
      </c>
      <c r="I22" s="12">
        <f t="shared" si="1"/>
        <v>0</v>
      </c>
    </row>
    <row r="23" spans="1:9" ht="34.049999999999997" customHeight="1">
      <c r="A23" s="12" t="s">
        <v>10</v>
      </c>
      <c r="B23" s="12" t="s">
        <v>157</v>
      </c>
      <c r="C23" s="12" t="s">
        <v>87</v>
      </c>
      <c r="D23" s="12" t="s">
        <v>88</v>
      </c>
      <c r="E23" s="12" t="s">
        <v>44</v>
      </c>
      <c r="F23" s="12">
        <v>6</v>
      </c>
      <c r="G23" s="12" t="s">
        <v>43</v>
      </c>
      <c r="H23" s="12">
        <f t="shared" si="0"/>
        <v>0</v>
      </c>
      <c r="I23" s="12">
        <f t="shared" si="1"/>
        <v>6</v>
      </c>
    </row>
    <row r="24" spans="1:9" ht="34.049999999999997" customHeight="1">
      <c r="A24" s="12" t="s">
        <v>10</v>
      </c>
      <c r="B24" s="12" t="s">
        <v>157</v>
      </c>
      <c r="C24" s="12" t="s">
        <v>89</v>
      </c>
      <c r="D24" s="12" t="s">
        <v>90</v>
      </c>
      <c r="E24" s="12" t="s">
        <v>59</v>
      </c>
      <c r="F24" s="12">
        <v>4</v>
      </c>
      <c r="G24" s="12" t="s">
        <v>43</v>
      </c>
      <c r="H24" s="12">
        <f t="shared" si="0"/>
        <v>0</v>
      </c>
      <c r="I24" s="12">
        <f t="shared" si="1"/>
        <v>4</v>
      </c>
    </row>
    <row r="25" spans="1:9" ht="34.049999999999997" customHeight="1">
      <c r="A25" s="12" t="s">
        <v>10</v>
      </c>
      <c r="B25" s="12" t="s">
        <v>158</v>
      </c>
      <c r="C25" s="12" t="s">
        <v>91</v>
      </c>
      <c r="D25" s="12" t="s">
        <v>92</v>
      </c>
      <c r="E25" s="12" t="s">
        <v>44</v>
      </c>
      <c r="F25" s="12">
        <v>6</v>
      </c>
      <c r="G25" s="12" t="s">
        <v>43</v>
      </c>
      <c r="H25" s="12">
        <f t="shared" si="0"/>
        <v>0</v>
      </c>
      <c r="I25" s="12">
        <f t="shared" si="1"/>
        <v>6</v>
      </c>
    </row>
    <row r="26" spans="1:9" ht="34.049999999999997" customHeight="1">
      <c r="A26" s="12" t="s">
        <v>10</v>
      </c>
      <c r="B26" s="12" t="s">
        <v>158</v>
      </c>
      <c r="C26" s="12" t="s">
        <v>93</v>
      </c>
      <c r="D26" s="12" t="s">
        <v>94</v>
      </c>
      <c r="E26" s="12" t="s">
        <v>44</v>
      </c>
      <c r="F26" s="12">
        <v>4</v>
      </c>
      <c r="G26" s="12" t="s">
        <v>43</v>
      </c>
      <c r="H26" s="12">
        <f t="shared" si="0"/>
        <v>0</v>
      </c>
      <c r="I26" s="12">
        <f t="shared" si="1"/>
        <v>4</v>
      </c>
    </row>
    <row r="27" spans="1:9" ht="34.049999999999997" customHeight="1">
      <c r="A27" s="12" t="s">
        <v>10</v>
      </c>
      <c r="B27" s="12" t="s">
        <v>158</v>
      </c>
      <c r="C27" s="12" t="s">
        <v>95</v>
      </c>
      <c r="D27" s="12" t="s">
        <v>96</v>
      </c>
      <c r="E27" s="12" t="s">
        <v>59</v>
      </c>
      <c r="F27" s="12">
        <v>4</v>
      </c>
      <c r="G27" s="12" t="s">
        <v>43</v>
      </c>
      <c r="H27" s="12">
        <f t="shared" si="0"/>
        <v>0</v>
      </c>
      <c r="I27" s="12">
        <f t="shared" si="1"/>
        <v>4</v>
      </c>
    </row>
    <row r="28" spans="1:9" ht="34.049999999999997" customHeight="1">
      <c r="A28" s="12" t="s">
        <v>10</v>
      </c>
      <c r="B28" s="12" t="s">
        <v>158</v>
      </c>
      <c r="C28" s="12" t="s">
        <v>97</v>
      </c>
      <c r="D28" s="12" t="s">
        <v>98</v>
      </c>
      <c r="E28" s="12" t="s">
        <v>44</v>
      </c>
      <c r="F28" s="12">
        <v>4</v>
      </c>
      <c r="G28" s="12" t="s">
        <v>43</v>
      </c>
      <c r="H28" s="12">
        <f t="shared" si="0"/>
        <v>0</v>
      </c>
      <c r="I28" s="12">
        <f t="shared" si="1"/>
        <v>4</v>
      </c>
    </row>
    <row r="29" spans="1:9" ht="34.049999999999997" customHeight="1">
      <c r="A29" s="12" t="s">
        <v>10</v>
      </c>
      <c r="B29" s="12" t="s">
        <v>159</v>
      </c>
      <c r="C29" s="12" t="s">
        <v>99</v>
      </c>
      <c r="D29" s="12" t="s">
        <v>100</v>
      </c>
      <c r="E29" s="12" t="s">
        <v>44</v>
      </c>
      <c r="F29" s="12">
        <v>8</v>
      </c>
      <c r="G29" s="12" t="s">
        <v>43</v>
      </c>
      <c r="H29" s="12">
        <f t="shared" si="0"/>
        <v>0</v>
      </c>
      <c r="I29" s="12">
        <f t="shared" si="1"/>
        <v>8</v>
      </c>
    </row>
    <row r="30" spans="1:9" ht="34.049999999999997" customHeight="1">
      <c r="A30" s="12" t="s">
        <v>10</v>
      </c>
      <c r="B30" s="12" t="s">
        <v>159</v>
      </c>
      <c r="C30" s="12" t="s">
        <v>101</v>
      </c>
      <c r="D30" s="12" t="s">
        <v>102</v>
      </c>
      <c r="E30" s="12" t="s">
        <v>44</v>
      </c>
      <c r="F30" s="12">
        <v>6</v>
      </c>
      <c r="G30" s="12" t="s">
        <v>43</v>
      </c>
      <c r="H30" s="12">
        <f t="shared" si="0"/>
        <v>0</v>
      </c>
      <c r="I30" s="12">
        <f t="shared" si="1"/>
        <v>6</v>
      </c>
    </row>
    <row r="31" spans="1:9" ht="34.049999999999997" customHeight="1">
      <c r="A31" s="12" t="s">
        <v>10</v>
      </c>
      <c r="B31" s="12" t="s">
        <v>159</v>
      </c>
      <c r="C31" s="12" t="s">
        <v>103</v>
      </c>
      <c r="D31" s="12" t="s">
        <v>104</v>
      </c>
      <c r="E31" s="12" t="s">
        <v>52</v>
      </c>
      <c r="F31" s="12">
        <v>6</v>
      </c>
      <c r="G31" s="12" t="s">
        <v>43</v>
      </c>
      <c r="H31" s="12">
        <f t="shared" si="0"/>
        <v>0</v>
      </c>
      <c r="I31" s="12">
        <f t="shared" si="1"/>
        <v>6</v>
      </c>
    </row>
    <row r="32" spans="1:9" ht="34.049999999999997" customHeight="1">
      <c r="A32" s="12" t="s">
        <v>10</v>
      </c>
      <c r="B32" s="12" t="s">
        <v>159</v>
      </c>
      <c r="C32" s="12" t="s">
        <v>105</v>
      </c>
      <c r="D32" s="12" t="s">
        <v>106</v>
      </c>
      <c r="E32" s="12" t="s">
        <v>52</v>
      </c>
      <c r="F32" s="12">
        <v>4</v>
      </c>
      <c r="G32" s="12" t="s">
        <v>43</v>
      </c>
      <c r="H32" s="12">
        <f t="shared" si="0"/>
        <v>0</v>
      </c>
      <c r="I32" s="12">
        <f t="shared" si="1"/>
        <v>4</v>
      </c>
    </row>
    <row r="33" spans="1:9" ht="34.049999999999997" customHeight="1">
      <c r="A33" s="12" t="s">
        <v>11</v>
      </c>
      <c r="B33" s="12" t="s">
        <v>160</v>
      </c>
      <c r="C33" s="12" t="s">
        <v>109</v>
      </c>
      <c r="D33" s="12" t="s">
        <v>110</v>
      </c>
      <c r="E33" s="12" t="s">
        <v>59</v>
      </c>
      <c r="F33" s="12">
        <v>6</v>
      </c>
      <c r="G33" s="12" t="s">
        <v>43</v>
      </c>
      <c r="H33" s="12">
        <f t="shared" si="0"/>
        <v>0</v>
      </c>
      <c r="I33" s="12">
        <f t="shared" si="1"/>
        <v>6</v>
      </c>
    </row>
    <row r="34" spans="1:9" ht="34.049999999999997" customHeight="1">
      <c r="A34" s="12" t="s">
        <v>11</v>
      </c>
      <c r="B34" s="12" t="s">
        <v>160</v>
      </c>
      <c r="C34" s="12" t="s">
        <v>111</v>
      </c>
      <c r="D34" s="12" t="s">
        <v>112</v>
      </c>
      <c r="E34" s="12" t="s">
        <v>59</v>
      </c>
      <c r="F34" s="12">
        <v>6</v>
      </c>
      <c r="G34" s="12" t="s">
        <v>43</v>
      </c>
      <c r="H34" s="12">
        <f t="shared" si="0"/>
        <v>0</v>
      </c>
      <c r="I34" s="12">
        <f t="shared" si="1"/>
        <v>6</v>
      </c>
    </row>
    <row r="35" spans="1:9" ht="34.049999999999997" customHeight="1">
      <c r="A35" s="12" t="s">
        <v>11</v>
      </c>
      <c r="B35" s="12" t="s">
        <v>160</v>
      </c>
      <c r="C35" s="12" t="s">
        <v>113</v>
      </c>
      <c r="D35" s="12" t="s">
        <v>114</v>
      </c>
      <c r="E35" s="12" t="s">
        <v>59</v>
      </c>
      <c r="F35" s="12">
        <v>6</v>
      </c>
      <c r="G35" s="12" t="s">
        <v>43</v>
      </c>
      <c r="H35" s="12">
        <f t="shared" si="0"/>
        <v>0</v>
      </c>
      <c r="I35" s="12">
        <f t="shared" si="1"/>
        <v>6</v>
      </c>
    </row>
    <row r="36" spans="1:9" ht="34.049999999999997" customHeight="1">
      <c r="A36" s="12" t="s">
        <v>11</v>
      </c>
      <c r="B36" s="12" t="s">
        <v>160</v>
      </c>
      <c r="C36" s="12" t="s">
        <v>115</v>
      </c>
      <c r="D36" s="12" t="s">
        <v>116</v>
      </c>
      <c r="E36" s="12" t="s">
        <v>59</v>
      </c>
      <c r="F36" s="12">
        <v>4</v>
      </c>
      <c r="G36" s="12" t="s">
        <v>43</v>
      </c>
      <c r="H36" s="12">
        <f t="shared" si="0"/>
        <v>0</v>
      </c>
      <c r="I36" s="12">
        <f t="shared" si="1"/>
        <v>4</v>
      </c>
    </row>
    <row r="37" spans="1:9" ht="34.049999999999997" customHeight="1">
      <c r="A37" s="12" t="s">
        <v>11</v>
      </c>
      <c r="B37" s="12" t="s">
        <v>161</v>
      </c>
      <c r="C37" s="12" t="s">
        <v>117</v>
      </c>
      <c r="D37" s="12" t="s">
        <v>118</v>
      </c>
      <c r="E37" s="12" t="s">
        <v>52</v>
      </c>
      <c r="F37" s="12">
        <v>6</v>
      </c>
      <c r="G37" s="12" t="s">
        <v>43</v>
      </c>
      <c r="H37" s="12">
        <f t="shared" si="0"/>
        <v>0</v>
      </c>
      <c r="I37" s="12">
        <f t="shared" si="1"/>
        <v>6</v>
      </c>
    </row>
    <row r="38" spans="1:9" ht="34.049999999999997" customHeight="1">
      <c r="A38" s="12" t="s">
        <v>11</v>
      </c>
      <c r="B38" s="12" t="s">
        <v>161</v>
      </c>
      <c r="C38" s="12" t="s">
        <v>119</v>
      </c>
      <c r="D38" s="12" t="s">
        <v>120</v>
      </c>
      <c r="E38" s="12" t="s">
        <v>52</v>
      </c>
      <c r="F38" s="12">
        <v>8</v>
      </c>
      <c r="G38" s="12" t="s">
        <v>43</v>
      </c>
      <c r="H38" s="12">
        <f t="shared" si="0"/>
        <v>0</v>
      </c>
      <c r="I38" s="12">
        <f t="shared" si="1"/>
        <v>8</v>
      </c>
    </row>
    <row r="39" spans="1:9" ht="34.049999999999997" customHeight="1">
      <c r="A39" s="12" t="s">
        <v>11</v>
      </c>
      <c r="B39" s="12" t="s">
        <v>161</v>
      </c>
      <c r="C39" s="12" t="s">
        <v>121</v>
      </c>
      <c r="D39" s="12" t="s">
        <v>122</v>
      </c>
      <c r="E39" s="12" t="s">
        <v>52</v>
      </c>
      <c r="F39" s="12">
        <v>6</v>
      </c>
      <c r="G39" s="12" t="s">
        <v>43</v>
      </c>
      <c r="H39" s="12">
        <f t="shared" si="0"/>
        <v>0</v>
      </c>
      <c r="I39" s="12">
        <f t="shared" si="1"/>
        <v>6</v>
      </c>
    </row>
    <row r="40" spans="1:9" ht="34.049999999999997" customHeight="1">
      <c r="A40" s="12" t="s">
        <v>11</v>
      </c>
      <c r="B40" s="12" t="s">
        <v>161</v>
      </c>
      <c r="C40" s="12" t="s">
        <v>123</v>
      </c>
      <c r="D40" s="12" t="s">
        <v>124</v>
      </c>
      <c r="E40" s="12" t="s">
        <v>52</v>
      </c>
      <c r="F40" s="12">
        <v>6</v>
      </c>
      <c r="G40" s="12" t="s">
        <v>43</v>
      </c>
      <c r="H40" s="12">
        <f t="shared" si="0"/>
        <v>0</v>
      </c>
      <c r="I40" s="12">
        <f t="shared" si="1"/>
        <v>6</v>
      </c>
    </row>
    <row r="41" spans="1:9" ht="34.049999999999997" customHeight="1">
      <c r="A41" s="35" t="s">
        <v>162</v>
      </c>
      <c r="B41" s="35"/>
      <c r="C41" s="35"/>
      <c r="D41" s="35"/>
      <c r="E41" s="35"/>
      <c r="F41" s="11">
        <f>SUM(F5:F40)</f>
        <v>212</v>
      </c>
      <c r="G41" s="11"/>
      <c r="H41" s="11">
        <f>SUM(H5:H40)</f>
        <v>64</v>
      </c>
      <c r="I41" s="11">
        <f>SUM(I5:I40)</f>
        <v>148</v>
      </c>
    </row>
  </sheetData>
  <mergeCells count="3">
    <mergeCell ref="A1:I1"/>
    <mergeCell ref="A2:I2"/>
    <mergeCell ref="A41:E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verificado</vt:lpstr>
      <vt:lpstr>Sprint 1</vt:lpstr>
      <vt:lpstr>Sprint 2</vt:lpstr>
      <vt:lpstr>Sprint 3</vt:lpstr>
      <vt:lpstr>Sprint 4</vt:lpstr>
      <vt:lpstr>Fuentes y trazabilidad</vt:lpstr>
      <vt:lpstr>Avance tareas Kanban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3551</cp:lastModifiedBy>
  <dcterms:modified xsi:type="dcterms:W3CDTF">2026-10-26T04:16:55Z</dcterms:modified>
</cp:coreProperties>
</file>