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MUNERACIONES" sheetId="1" r:id="rId4"/>
    <sheet state="visible" name="EQUIPOS E INFRAESTRUCTURA" sheetId="2" r:id="rId5"/>
    <sheet state="visible" name="SOFTWARE Y FUNGIBLES" sheetId="3" r:id="rId6"/>
    <sheet state="visible" name="OTROS" sheetId="4" r:id="rId7"/>
    <sheet state="visible" name="TOTAL" sheetId="5" r:id="rId8"/>
  </sheets>
  <definedNames/>
  <calcPr/>
  <extLst>
    <ext uri="GoogleSheetsCustomDataVersion2">
      <go:sheetsCustomData xmlns:go="http://customooxmlschemas.google.com/" r:id="rId9" roundtripDataChecksum="axEeaMMioEC/o8XpCQaCY/SllJl5bsvqzi1hdeU1smQ="/>
    </ext>
  </extLst>
</workbook>
</file>

<file path=xl/sharedStrings.xml><?xml version="1.0" encoding="utf-8"?>
<sst xmlns="http://schemas.openxmlformats.org/spreadsheetml/2006/main" count="201" uniqueCount="101">
  <si>
    <t>COSTO DE RECURSOS HUMANOS - PROYECTO DUCO</t>
  </si>
  <si>
    <t>SOFTWARE</t>
  </si>
  <si>
    <t>ROL PRINCIPAL</t>
  </si>
  <si>
    <t>VALOR HORA</t>
  </si>
  <si>
    <t>HORAS PROYECTO</t>
  </si>
  <si>
    <t>SPRINTS</t>
  </si>
  <si>
    <t>DEDICACIÓN</t>
  </si>
  <si>
    <t>EQUIVALENTE</t>
  </si>
  <si>
    <t>TOTAL PROYECTO</t>
  </si>
  <si>
    <t>INTEGRANTE</t>
  </si>
  <si>
    <t xml:space="preserve"> </t>
  </si>
  <si>
    <t>EN DUCO</t>
  </si>
  <si>
    <t>COSTO</t>
  </si>
  <si>
    <t>PROPIEDAD INTELECTUAL</t>
  </si>
  <si>
    <t>M$/HORA</t>
  </si>
  <si>
    <t>HORAS</t>
  </si>
  <si>
    <t>Nº</t>
  </si>
  <si>
    <t>% SOBRE 212 H</t>
  </si>
  <si>
    <t>M$</t>
  </si>
  <si>
    <t>DESCRIPCIÓN</t>
  </si>
  <si>
    <t>UNITARIO</t>
  </si>
  <si>
    <t>CANTIDAD</t>
  </si>
  <si>
    <t>TOTAL</t>
  </si>
  <si>
    <t>Equipo Duco</t>
  </si>
  <si>
    <t>M$/UNIDAD</t>
  </si>
  <si>
    <t>EQUIPOS</t>
  </si>
  <si>
    <t>Matías Peredo</t>
  </si>
  <si>
    <t>Visual Studio Code</t>
  </si>
  <si>
    <t>Registro de software / propiedad intelectual</t>
  </si>
  <si>
    <t>Interfaz, búsqueda y navegación</t>
  </si>
  <si>
    <t>Ollama + modelo local (llama3.1)</t>
  </si>
  <si>
    <t>Git / repositorio de código</t>
  </si>
  <si>
    <t>Elías Cornejo</t>
  </si>
  <si>
    <t>IA, Ollama y lógica de respuestas</t>
  </si>
  <si>
    <t>Resguardo documental</t>
  </si>
  <si>
    <t>Licencias adicionales no contempladas</t>
  </si>
  <si>
    <t>SUBTOTAL</t>
  </si>
  <si>
    <t>Nicolás Huenchuñir</t>
  </si>
  <si>
    <t>Pruebas, validación, documentación e integración</t>
  </si>
  <si>
    <t>Docker</t>
  </si>
  <si>
    <t>Bootstrap y jQuery</t>
  </si>
  <si>
    <t>Google Tag Manager (sitio base)</t>
  </si>
  <si>
    <t>GASTOS GENERALES E IMPREVISTOS</t>
  </si>
  <si>
    <t>Reserva de contingencia (10% recursos humanos)</t>
  </si>
  <si>
    <t>Nota</t>
  </si>
  <si>
    <t>Estimación académica para valorar el trabajo del equipo; no representa un pago real.</t>
  </si>
  <si>
    <t>NOMBRE DEL EQUIPO</t>
  </si>
  <si>
    <t>FUNGIBLES</t>
  </si>
  <si>
    <t>Base</t>
  </si>
  <si>
    <t>212 horas totales, consistentes con los 4 Sprint Backlogs de Duco.</t>
  </si>
  <si>
    <t>CASO ADQUISICIONES</t>
  </si>
  <si>
    <t>CASO ARRIENDO O USO</t>
  </si>
  <si>
    <t>UNIDADES</t>
  </si>
  <si>
    <t>UNIDADES EXISTENTES (M$/MES)</t>
  </si>
  <si>
    <t>Documentación digital</t>
  </si>
  <si>
    <t>O MESES</t>
  </si>
  <si>
    <t>Impresiones adicionales</t>
  </si>
  <si>
    <t>Notebook de desarrollo</t>
  </si>
  <si>
    <t>Bitácora / apuntes</t>
  </si>
  <si>
    <t>Equipos existentes del equipo para desarrollo y pruebas</t>
  </si>
  <si>
    <t>Transporte / reuniones</t>
  </si>
  <si>
    <t>Material de presentación</t>
  </si>
  <si>
    <t>Ajustes menores no previstos</t>
  </si>
  <si>
    <t>Evidencias de pruebas</t>
  </si>
  <si>
    <t>Router / Wi-Fi</t>
  </si>
  <si>
    <t>Conectividad existente para desarrollo y pruebas</t>
  </si>
  <si>
    <t>Periféricos</t>
  </si>
  <si>
    <t>Mouse, teclado y accesorios existentes</t>
  </si>
  <si>
    <t>Equipo de respaldo</t>
  </si>
  <si>
    <t>Almacenamiento/respaldo disponible</t>
  </si>
  <si>
    <t>Dispositivos de prueba</t>
  </si>
  <si>
    <t>Equipos disponibles para validar interfaz web</t>
  </si>
  <si>
    <t>GASTOS COMUNES</t>
  </si>
  <si>
    <t>Herramientas locales</t>
  </si>
  <si>
    <t>Ollama y entorno local de desarrollo</t>
  </si>
  <si>
    <t>Uso de sala / espacio de trabajo</t>
  </si>
  <si>
    <t>Servicios básicos</t>
  </si>
  <si>
    <t>Conectividad existente</t>
  </si>
  <si>
    <t>Reuniones de coordinación</t>
  </si>
  <si>
    <t>GASTOS DE ADMINISTRACIÓN SUPERIOR</t>
  </si>
  <si>
    <t>INFRAESTRUCTURA</t>
  </si>
  <si>
    <t>NOMBRE DE LA INFRAESTRUCTURA</t>
  </si>
  <si>
    <t>Supervisión administrativa del proyecto</t>
  </si>
  <si>
    <t>O HABILITACIÓNM$/UNIDAD</t>
  </si>
  <si>
    <t>Internet / conectividad</t>
  </si>
  <si>
    <t>Conexión existente utilizada por el equipo</t>
  </si>
  <si>
    <t>Costos indirectos institucionales</t>
  </si>
  <si>
    <t>Espacio de trabajo</t>
  </si>
  <si>
    <t>Uso de espacios propios/institucionales existentes</t>
  </si>
  <si>
    <t>Energía eléctrica</t>
  </si>
  <si>
    <t>Recurso existente considerado sin desembolso directo</t>
  </si>
  <si>
    <t>Publicación / entorno local</t>
  </si>
  <si>
    <t>Prototipo ejecutado localmente durante desarrollo</t>
  </si>
  <si>
    <t>COSTO TOTAL ESTIMADO DEL PROYECTO DUCO</t>
  </si>
  <si>
    <t>ITEM</t>
  </si>
  <si>
    <t>HONORARIOS, INCENTIVOS, REMUNERACIONES</t>
  </si>
  <si>
    <t>Supuesto de valorización</t>
  </si>
  <si>
    <t>M$ 8 por hora de trabajo</t>
  </si>
  <si>
    <t>Horas totales del proyecto</t>
  </si>
  <si>
    <t>Planificación</t>
  </si>
  <si>
    <t>4 Sprints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</si>
</sst>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[$$]#,##0"/>
    <numFmt numFmtId="165" formatCode="0.0%"/>
  </numFmts>
  <fonts count="13">
    <font>
      <sz val="10.0"/>
      <color rgb="FF000000"/>
      <name val="Arial"/>
      <scheme val="minor"/>
    </font>
    <font>
      <b/>
      <sz val="10.0"/>
      <color theme="1"/>
      <name val="Arial"/>
    </font>
    <font>
      <b/>
      <sz val="8.0"/>
      <color theme="1"/>
      <name val="Arial"/>
    </font>
    <font>
      <sz val="10.0"/>
      <color theme="1"/>
      <name val="Arial"/>
    </font>
    <font>
      <sz val="6.0"/>
      <color theme="1"/>
      <name val="Arial"/>
    </font>
    <font>
      <sz val="10.0"/>
      <color rgb="FF000000"/>
      <name val="Arial"/>
    </font>
    <font>
      <sz val="8.0"/>
      <color theme="1"/>
      <name val="Arial"/>
    </font>
    <font>
      <color theme="1"/>
      <name val="Arial"/>
    </font>
    <font>
      <b/>
      <sz val="8.0"/>
      <color rgb="FF3366FF"/>
      <name val="Arial"/>
    </font>
    <font>
      <b/>
      <sz val="10.0"/>
      <color rgb="FFFF0000"/>
      <name val="Arial"/>
    </font>
    <font>
      <b/>
      <sz val="10.0"/>
      <color rgb="FF000000"/>
      <name val="Arial"/>
    </font>
    <font>
      <b/>
      <sz val="10.0"/>
      <color rgb="FF3366FF"/>
      <name val="Arial"/>
    </font>
    <font>
      <b/>
      <sz val="12.0"/>
      <color theme="1"/>
      <name val="Arial"/>
    </font>
  </fonts>
  <fills count="2">
    <fill>
      <patternFill patternType="none"/>
    </fill>
    <fill>
      <patternFill patternType="lightGray"/>
    </fill>
  </fills>
  <borders count="12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</borders>
  <cellStyleXfs count="1">
    <xf borderId="0" fillId="0" fontId="0" numFmtId="0" applyAlignment="1" applyFont="1"/>
  </cellStyleXfs>
  <cellXfs count="7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0" fontId="2" numFmtId="0" xfId="0" applyFont="1"/>
    <xf borderId="1" fillId="0" fontId="3" numFmtId="0" xfId="0" applyAlignment="1" applyBorder="1" applyFont="1">
      <alignment shrinkToFit="0" wrapText="1"/>
    </xf>
    <xf borderId="2" fillId="0" fontId="4" numFmtId="0" xfId="0" applyAlignment="1" applyBorder="1" applyFont="1">
      <alignment horizontal="center" shrinkToFit="0" wrapText="1"/>
    </xf>
    <xf borderId="0" fillId="0" fontId="5" numFmtId="0" xfId="0" applyAlignment="1" applyFont="1">
      <alignment shrinkToFit="0" vertical="bottom" wrapText="1"/>
    </xf>
    <xf borderId="3" fillId="0" fontId="3" numFmtId="0" xfId="0" applyAlignment="1" applyBorder="1" applyFont="1">
      <alignment horizontal="center" shrinkToFit="0" wrapText="1"/>
    </xf>
    <xf borderId="2" fillId="0" fontId="3" numFmtId="0" xfId="0" applyAlignment="1" applyBorder="1" applyFont="1">
      <alignment horizontal="center" shrinkToFit="0" wrapText="1"/>
    </xf>
    <xf borderId="4" fillId="0" fontId="4" numFmtId="0" xfId="0" applyAlignment="1" applyBorder="1" applyFont="1">
      <alignment horizontal="center" shrinkToFit="0" wrapText="1"/>
    </xf>
    <xf borderId="5" fillId="0" fontId="3" numFmtId="0" xfId="0" applyAlignment="1" applyBorder="1" applyFont="1">
      <alignment horizontal="center" shrinkToFit="0" wrapText="1"/>
    </xf>
    <xf borderId="4" fillId="0" fontId="3" numFmtId="0" xfId="0" applyAlignment="1" applyBorder="1" applyFont="1">
      <alignment horizontal="center" shrinkToFit="0" wrapText="1"/>
    </xf>
    <xf borderId="6" fillId="0" fontId="4" numFmtId="0" xfId="0" applyAlignment="1" applyBorder="1" applyFont="1">
      <alignment horizontal="center" shrinkToFit="0" wrapText="1"/>
    </xf>
    <xf borderId="6" fillId="0" fontId="3" numFmtId="0" xfId="0" applyAlignment="1" applyBorder="1" applyFont="1">
      <alignment shrinkToFit="0" wrapText="1"/>
    </xf>
    <xf borderId="7" fillId="0" fontId="1" numFmtId="0" xfId="0" applyAlignment="1" applyBorder="1" applyFont="1">
      <alignment shrinkToFit="0" wrapText="1"/>
    </xf>
    <xf borderId="0" fillId="0" fontId="3" numFmtId="0" xfId="0" applyAlignment="1" applyFont="1">
      <alignment shrinkToFit="0" wrapText="1"/>
    </xf>
    <xf borderId="6" fillId="0" fontId="3" numFmtId="0" xfId="0" applyAlignment="1" applyBorder="1" applyFont="1">
      <alignment horizontal="center" shrinkToFit="0" wrapText="1"/>
    </xf>
    <xf borderId="8" fillId="0" fontId="3" numFmtId="0" xfId="0" applyAlignment="1" applyBorder="1" applyFont="1">
      <alignment shrinkToFit="0" wrapText="1"/>
    </xf>
    <xf borderId="9" fillId="0" fontId="3" numFmtId="0" xfId="0" applyAlignment="1" applyBorder="1" applyFont="1">
      <alignment shrinkToFit="0" wrapText="1"/>
    </xf>
    <xf borderId="9" fillId="0" fontId="6" numFmtId="0" xfId="0" applyAlignment="1" applyBorder="1" applyFont="1">
      <alignment shrinkToFit="0" wrapText="1"/>
    </xf>
    <xf borderId="9" fillId="0" fontId="7" numFmtId="0" xfId="0" applyAlignment="1" applyBorder="1" applyFont="1">
      <alignment shrinkToFit="0" wrapText="1"/>
    </xf>
    <xf borderId="9" fillId="0" fontId="3" numFmtId="3" xfId="0" applyAlignment="1" applyBorder="1" applyFont="1" applyNumberFormat="1">
      <alignment shrinkToFit="0" wrapText="1"/>
    </xf>
    <xf borderId="9" fillId="0" fontId="6" numFmtId="164" xfId="0" applyAlignment="1" applyBorder="1" applyFont="1" applyNumberFormat="1">
      <alignment shrinkToFit="0" wrapText="1"/>
    </xf>
    <xf borderId="9" fillId="0" fontId="3" numFmtId="165" xfId="0" applyAlignment="1" applyBorder="1" applyFont="1" applyNumberFormat="1">
      <alignment shrinkToFit="0" wrapText="1"/>
    </xf>
    <xf borderId="2" fillId="0" fontId="3" numFmtId="0" xfId="0" applyAlignment="1" applyBorder="1" applyFont="1">
      <alignment shrinkToFit="0" wrapText="1"/>
    </xf>
    <xf borderId="10" fillId="0" fontId="3" numFmtId="0" xfId="0" applyAlignment="1" applyBorder="1" applyFont="1">
      <alignment shrinkToFit="0" wrapText="1"/>
    </xf>
    <xf borderId="9" fillId="0" fontId="1" numFmtId="164" xfId="0" applyAlignment="1" applyBorder="1" applyFont="1" applyNumberFormat="1">
      <alignment shrinkToFit="0" wrapText="1"/>
    </xf>
    <xf borderId="0" fillId="0" fontId="3" numFmtId="0" xfId="0" applyFont="1"/>
    <xf borderId="7" fillId="0" fontId="3" numFmtId="0" xfId="0" applyAlignment="1" applyBorder="1" applyFont="1">
      <alignment shrinkToFit="0" wrapText="1"/>
    </xf>
    <xf borderId="9" fillId="0" fontId="1" numFmtId="0" xfId="0" applyAlignment="1" applyBorder="1" applyFont="1">
      <alignment shrinkToFit="0" wrapText="1"/>
    </xf>
    <xf borderId="2" fillId="0" fontId="6" numFmtId="0" xfId="0" applyAlignment="1" applyBorder="1" applyFont="1">
      <alignment horizontal="center" shrinkToFit="0" wrapText="1"/>
    </xf>
    <xf borderId="9" fillId="0" fontId="3" numFmtId="9" xfId="0" applyAlignment="1" applyBorder="1" applyFont="1" applyNumberFormat="1">
      <alignment shrinkToFit="0" wrapText="1"/>
    </xf>
    <xf borderId="1" fillId="0" fontId="3" numFmtId="0" xfId="0" applyAlignment="1" applyBorder="1" applyFont="1">
      <alignment horizontal="right" shrinkToFit="0" wrapText="1"/>
    </xf>
    <xf borderId="11" fillId="0" fontId="3" numFmtId="0" xfId="0" applyAlignment="1" applyBorder="1" applyFont="1">
      <alignment shrinkToFit="0" wrapText="1"/>
    </xf>
    <xf borderId="0" fillId="0" fontId="8" numFmtId="0" xfId="0" applyAlignment="1" applyFont="1">
      <alignment shrinkToFit="0" wrapText="1"/>
    </xf>
    <xf borderId="0" fillId="0" fontId="6" numFmtId="0" xfId="0" applyAlignment="1" applyFont="1">
      <alignment shrinkToFit="0" wrapText="1"/>
    </xf>
    <xf borderId="0" fillId="0" fontId="6" numFmtId="0" xfId="0" applyFont="1"/>
    <xf borderId="0" fillId="0" fontId="1" numFmtId="164" xfId="0" applyAlignment="1" applyFont="1" applyNumberFormat="1">
      <alignment shrinkToFit="0" wrapText="1"/>
    </xf>
    <xf borderId="4" fillId="0" fontId="6" numFmtId="0" xfId="0" applyAlignment="1" applyBorder="1" applyFont="1">
      <alignment shrinkToFit="0" wrapText="1"/>
    </xf>
    <xf borderId="4" fillId="0" fontId="6" numFmtId="0" xfId="0" applyAlignment="1" applyBorder="1" applyFont="1">
      <alignment horizontal="center" shrinkToFit="0" wrapText="1"/>
    </xf>
    <xf borderId="10" fillId="0" fontId="3" numFmtId="3" xfId="0" applyAlignment="1" applyBorder="1" applyFont="1" applyNumberFormat="1">
      <alignment shrinkToFit="0" wrapText="1"/>
    </xf>
    <xf borderId="6" fillId="0" fontId="6" numFmtId="0" xfId="0" applyAlignment="1" applyBorder="1" applyFont="1">
      <alignment horizontal="center" shrinkToFit="0" wrapText="1"/>
    </xf>
    <xf borderId="9" fillId="0" fontId="6" numFmtId="0" xfId="0" applyAlignment="1" applyBorder="1" applyFont="1">
      <alignment horizontal="center" shrinkToFit="0" vertical="center" wrapText="1"/>
    </xf>
    <xf borderId="9" fillId="0" fontId="6" numFmtId="0" xfId="0" applyAlignment="1" applyBorder="1" applyFont="1">
      <alignment shrinkToFit="0" vertical="center" wrapText="1"/>
    </xf>
    <xf borderId="0" fillId="0" fontId="9" numFmtId="0" xfId="0" applyAlignment="1" applyFont="1">
      <alignment shrinkToFit="0" wrapText="1"/>
    </xf>
    <xf borderId="0" fillId="0" fontId="10" numFmtId="0" xfId="0" applyAlignment="1" applyFont="1">
      <alignment shrinkToFit="0" wrapText="1"/>
    </xf>
    <xf borderId="9" fillId="0" fontId="6" numFmtId="3" xfId="0" applyAlignment="1" applyBorder="1" applyFont="1" applyNumberFormat="1">
      <alignment shrinkToFit="0" wrapText="1"/>
    </xf>
    <xf borderId="0" fillId="0" fontId="11" numFmtId="0" xfId="0" applyAlignment="1" applyFont="1">
      <alignment shrinkToFit="0" wrapText="1"/>
    </xf>
    <xf borderId="9" fillId="0" fontId="7" numFmtId="164" xfId="0" applyAlignment="1" applyBorder="1" applyFont="1" applyNumberFormat="1">
      <alignment shrinkToFit="0" wrapText="1"/>
    </xf>
    <xf borderId="0" fillId="0" fontId="7" numFmtId="0" xfId="0" applyFont="1"/>
    <xf borderId="2" fillId="0" fontId="3" numFmtId="0" xfId="0" applyAlignment="1" applyBorder="1" applyFont="1">
      <alignment horizontal="center"/>
    </xf>
    <xf borderId="4" fillId="0" fontId="3" numFmtId="0" xfId="0" applyAlignment="1" applyBorder="1" applyFont="1">
      <alignment horizontal="center"/>
    </xf>
    <xf borderId="6" fillId="0" fontId="3" numFmtId="0" xfId="0" applyBorder="1" applyFont="1"/>
    <xf borderId="6" fillId="0" fontId="3" numFmtId="0" xfId="0" applyAlignment="1" applyBorder="1" applyFont="1">
      <alignment horizontal="center"/>
    </xf>
    <xf borderId="9" fillId="0" fontId="6" numFmtId="0" xfId="0" applyBorder="1" applyFont="1"/>
    <xf borderId="9" fillId="0" fontId="6" numFmtId="0" xfId="0" applyAlignment="1" applyBorder="1" applyFont="1">
      <alignment horizontal="left" shrinkToFit="0" vertical="center" wrapText="1"/>
    </xf>
    <xf borderId="7" fillId="0" fontId="1" numFmtId="0" xfId="0" applyBorder="1" applyFont="1"/>
    <xf borderId="10" fillId="0" fontId="3" numFmtId="0" xfId="0" applyBorder="1" applyFont="1"/>
    <xf borderId="8" fillId="0" fontId="3" numFmtId="0" xfId="0" applyBorder="1" applyFont="1"/>
    <xf borderId="9" fillId="0" fontId="1" numFmtId="0" xfId="0" applyBorder="1" applyFont="1"/>
    <xf borderId="0" fillId="0" fontId="1" numFmtId="0" xfId="0" applyFont="1"/>
    <xf borderId="0" fillId="0" fontId="12" numFmtId="0" xfId="0" applyAlignment="1" applyFont="1">
      <alignment shrinkToFit="0" wrapText="1"/>
    </xf>
    <xf borderId="4" fillId="0" fontId="1" numFmtId="0" xfId="0" applyAlignment="1" applyBorder="1" applyFont="1">
      <alignment horizontal="center" shrinkToFit="0" wrapText="1"/>
    </xf>
    <xf borderId="6" fillId="0" fontId="3" numFmtId="164" xfId="0" applyAlignment="1" applyBorder="1" applyFont="1" applyNumberFormat="1">
      <alignment horizontal="center" shrinkToFit="0" wrapText="1"/>
    </xf>
    <xf borderId="9" fillId="0" fontId="6" numFmtId="164" xfId="0" applyAlignment="1" applyBorder="1" applyFont="1" applyNumberFormat="1">
      <alignment horizontal="right" shrinkToFit="0" wrapText="1"/>
    </xf>
    <xf borderId="9" fillId="0" fontId="1" numFmtId="164" xfId="0" applyAlignment="1" applyBorder="1" applyFont="1" applyNumberFormat="1">
      <alignment horizontal="right" shrinkToFit="0" wrapText="1"/>
    </xf>
    <xf borderId="0" fillId="0" fontId="9" numFmtId="10" xfId="0" applyAlignment="1" applyFont="1" applyNumberFormat="1">
      <alignment horizontal="center" shrinkToFit="0" wrapText="1"/>
    </xf>
    <xf borderId="0" fillId="0" fontId="3" numFmtId="4" xfId="0" applyAlignment="1" applyFont="1" applyNumberFormat="1">
      <alignment shrinkToFit="0" wrapText="1"/>
    </xf>
    <xf borderId="0" fillId="0" fontId="3" numFmtId="9" xfId="0" applyAlignment="1" applyFont="1" applyNumberFormat="1">
      <alignment horizontal="right" shrinkToFit="0" wrapText="1"/>
    </xf>
    <xf borderId="0" fillId="0" fontId="3" numFmtId="9" xfId="0" applyAlignment="1" applyFont="1" applyNumberForma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38.0"/>
    <col customWidth="1" min="3" max="8" width="15.0"/>
    <col customWidth="1" min="9" max="26" width="10.75"/>
  </cols>
  <sheetData>
    <row r="1" ht="12.7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2.75" customHeight="1">
      <c r="A2" s="1"/>
      <c r="B2" s="2"/>
      <c r="C2" s="2"/>
      <c r="D2" s="2"/>
      <c r="E2" s="2"/>
      <c r="F2" s="2"/>
      <c r="G2" s="2"/>
      <c r="H2" s="2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2.75" customHeight="1">
      <c r="A3" s="4"/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</row>
    <row r="4" ht="12.75" customHeight="1">
      <c r="A4" s="7" t="s">
        <v>9</v>
      </c>
      <c r="B4" s="9" t="s">
        <v>11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15</v>
      </c>
      <c r="H4" s="9" t="s">
        <v>18</v>
      </c>
    </row>
    <row r="5" ht="12.75" customHeight="1">
      <c r="A5" s="10"/>
      <c r="B5" s="12"/>
      <c r="C5" s="12"/>
      <c r="D5" s="12"/>
      <c r="E5" s="12"/>
      <c r="F5" s="12"/>
      <c r="G5" s="12"/>
      <c r="H5" s="12"/>
    </row>
    <row r="6" ht="12.75" customHeight="1">
      <c r="A6" s="14" t="s">
        <v>23</v>
      </c>
      <c r="B6" s="15"/>
      <c r="C6" s="15"/>
      <c r="D6" s="15"/>
      <c r="E6" s="15"/>
      <c r="F6" s="15"/>
      <c r="G6" s="15"/>
      <c r="H6" s="17"/>
    </row>
    <row r="7" ht="12.75" customHeight="1">
      <c r="A7" s="18" t="s">
        <v>26</v>
      </c>
      <c r="B7" s="21" t="s">
        <v>29</v>
      </c>
      <c r="C7" s="21">
        <v>8.0</v>
      </c>
      <c r="D7" s="21">
        <v>96.0</v>
      </c>
      <c r="E7" s="21">
        <v>4.0</v>
      </c>
      <c r="F7" s="23">
        <f t="shared" ref="F7:F9" si="1">D7/212</f>
        <v>0.4528301887</v>
      </c>
      <c r="G7" s="18">
        <v>96.0</v>
      </c>
      <c r="H7" s="18">
        <f t="shared" ref="H7:H9" si="2">C7*D7</f>
        <v>768</v>
      </c>
    </row>
    <row r="8" ht="12.75" customHeight="1">
      <c r="A8" s="18" t="s">
        <v>32</v>
      </c>
      <c r="B8" s="18" t="s">
        <v>33</v>
      </c>
      <c r="C8" s="18">
        <v>8.0</v>
      </c>
      <c r="D8" s="21">
        <v>74.0</v>
      </c>
      <c r="E8" s="21">
        <v>4.0</v>
      </c>
      <c r="F8" s="23">
        <f t="shared" si="1"/>
        <v>0.3490566038</v>
      </c>
      <c r="G8" s="18">
        <v>74.0</v>
      </c>
      <c r="H8" s="18">
        <f t="shared" si="2"/>
        <v>592</v>
      </c>
    </row>
    <row r="9" ht="12.75" customHeight="1">
      <c r="A9" s="28" t="s">
        <v>37</v>
      </c>
      <c r="B9" s="18" t="s">
        <v>38</v>
      </c>
      <c r="C9" s="15">
        <v>8.0</v>
      </c>
      <c r="D9" s="18">
        <v>42.0</v>
      </c>
      <c r="E9" s="18">
        <v>4.0</v>
      </c>
      <c r="F9" s="23">
        <f t="shared" si="1"/>
        <v>0.1981132075</v>
      </c>
      <c r="G9" s="18">
        <v>42.0</v>
      </c>
      <c r="H9" s="18">
        <f t="shared" si="2"/>
        <v>336</v>
      </c>
    </row>
    <row r="10" ht="12.75" customHeight="1">
      <c r="A10" s="29" t="s">
        <v>36</v>
      </c>
      <c r="B10" s="18"/>
      <c r="C10" s="18"/>
      <c r="D10" s="21">
        <f>SUM(D7:D9)</f>
        <v>212</v>
      </c>
      <c r="E10" s="21"/>
      <c r="F10" s="31"/>
      <c r="G10" s="18">
        <f t="shared" ref="G10:H10" si="3">SUM(G7:G9)</f>
        <v>212</v>
      </c>
      <c r="H10" s="18">
        <f t="shared" si="3"/>
        <v>1696</v>
      </c>
    </row>
    <row r="11" ht="12.75" customHeight="1">
      <c r="A11" s="15"/>
      <c r="B11" s="18"/>
      <c r="C11" s="18"/>
      <c r="D11" s="21"/>
      <c r="E11" s="21"/>
      <c r="F11" s="31"/>
      <c r="G11" s="18"/>
      <c r="H11" s="18">
        <f t="shared" ref="H11:H13" si="4">SUM(H8:H10)</f>
        <v>2624</v>
      </c>
    </row>
    <row r="12" ht="27.75" customHeight="1">
      <c r="A12" s="18" t="s">
        <v>44</v>
      </c>
      <c r="B12" s="18" t="s">
        <v>45</v>
      </c>
      <c r="C12" s="18"/>
      <c r="D12" s="21"/>
      <c r="E12" s="21"/>
      <c r="F12" s="31"/>
      <c r="G12" s="18"/>
      <c r="H12" s="18">
        <f t="shared" si="4"/>
        <v>4656</v>
      </c>
    </row>
    <row r="13" ht="31.5" customHeight="1">
      <c r="A13" s="18" t="s">
        <v>48</v>
      </c>
      <c r="B13" s="18" t="s">
        <v>49</v>
      </c>
      <c r="C13" s="18"/>
      <c r="D13" s="21"/>
      <c r="E13" s="21"/>
      <c r="F13" s="31"/>
      <c r="G13" s="18"/>
      <c r="H13" s="18">
        <f t="shared" si="4"/>
        <v>8976</v>
      </c>
    </row>
    <row r="14" ht="12.75" customHeight="1">
      <c r="A14" s="14"/>
      <c r="B14" s="15"/>
      <c r="C14" s="15"/>
      <c r="D14" s="15"/>
      <c r="E14" s="18"/>
      <c r="F14" s="15"/>
      <c r="G14" s="15"/>
      <c r="H14" s="18"/>
    </row>
    <row r="15" ht="12.75" customHeight="1">
      <c r="A15" s="18"/>
      <c r="B15" s="18"/>
      <c r="C15" s="18"/>
      <c r="D15" s="18"/>
      <c r="E15" s="18"/>
      <c r="F15" s="31"/>
      <c r="G15" s="18"/>
      <c r="H15" s="18"/>
    </row>
    <row r="16" ht="12.75" customHeight="1">
      <c r="A16" s="14" t="s">
        <v>36</v>
      </c>
      <c r="B16" s="25"/>
      <c r="C16" s="25"/>
      <c r="D16" s="40">
        <f t="shared" ref="D16:E16" si="5">SUM(D4:D15)</f>
        <v>424</v>
      </c>
      <c r="E16" s="25">
        <f t="shared" si="5"/>
        <v>12</v>
      </c>
      <c r="F16" s="25"/>
      <c r="G16" s="25"/>
      <c r="H16" s="29">
        <f>SUM(H6:H15)</f>
        <v>19648</v>
      </c>
    </row>
    <row r="17" ht="12.75" customHeight="1">
      <c r="A17" s="44"/>
      <c r="B17" s="6"/>
      <c r="C17" s="6"/>
      <c r="D17" s="6"/>
      <c r="E17" s="6"/>
      <c r="F17" s="6"/>
      <c r="G17" s="6"/>
      <c r="H17" s="6"/>
    </row>
    <row r="18" ht="12.75" customHeight="1">
      <c r="A18" s="45"/>
      <c r="B18" s="6"/>
      <c r="C18" s="6"/>
      <c r="D18" s="6"/>
      <c r="E18" s="6"/>
      <c r="F18" s="6"/>
      <c r="G18" s="6"/>
      <c r="H18" s="6"/>
    </row>
    <row r="19" ht="12.75" customHeight="1">
      <c r="A19" s="44"/>
      <c r="B19" s="6"/>
      <c r="C19" s="6"/>
      <c r="D19" s="6"/>
      <c r="E19" s="6"/>
      <c r="F19" s="6"/>
      <c r="G19" s="6"/>
      <c r="H19" s="6"/>
    </row>
    <row r="20" ht="12.75" customHeight="1">
      <c r="A20" s="45"/>
      <c r="B20" s="6"/>
      <c r="C20" s="6"/>
      <c r="D20" s="6"/>
      <c r="E20" s="6"/>
      <c r="F20" s="6"/>
      <c r="G20" s="6"/>
      <c r="H20" s="6"/>
    </row>
    <row r="21" ht="12.75" customHeight="1">
      <c r="A21" s="45"/>
      <c r="B21" s="6"/>
      <c r="C21" s="6"/>
      <c r="D21" s="6"/>
      <c r="E21" s="6"/>
      <c r="F21" s="6"/>
      <c r="G21" s="6"/>
      <c r="H21" s="6"/>
    </row>
    <row r="22" ht="12.75" customHeight="1">
      <c r="A22" s="45"/>
      <c r="B22" s="6"/>
      <c r="C22" s="6"/>
      <c r="D22" s="6"/>
      <c r="E22" s="6"/>
      <c r="F22" s="6"/>
      <c r="G22" s="6"/>
      <c r="H22" s="6"/>
    </row>
    <row r="23" ht="12.75" customHeight="1">
      <c r="A23" s="1"/>
      <c r="B23" s="6"/>
      <c r="C23" s="6"/>
      <c r="D23" s="6"/>
      <c r="E23" s="6"/>
      <c r="F23" s="6"/>
      <c r="G23" s="6"/>
      <c r="H23" s="6"/>
    </row>
    <row r="24" ht="12.75" customHeight="1">
      <c r="A24" s="47" t="s">
        <v>10</v>
      </c>
      <c r="B24" s="6"/>
      <c r="C24" s="6"/>
      <c r="D24" s="6"/>
      <c r="E24" s="6"/>
      <c r="F24" s="6"/>
      <c r="G24" s="6"/>
      <c r="H24" s="6"/>
    </row>
    <row r="25" ht="12.75" customHeight="1">
      <c r="A25" s="47" t="s">
        <v>10</v>
      </c>
      <c r="B25" s="6"/>
      <c r="C25" s="6"/>
      <c r="D25" s="6"/>
      <c r="E25" s="6"/>
      <c r="F25" s="6"/>
      <c r="G25" s="6"/>
      <c r="H25" s="6"/>
    </row>
    <row r="26" ht="12.75" customHeight="1">
      <c r="A26" s="6"/>
      <c r="B26" s="6"/>
      <c r="C26" s="6"/>
      <c r="D26" s="6"/>
      <c r="E26" s="6"/>
      <c r="F26" s="6"/>
      <c r="G26" s="6"/>
      <c r="H26" s="6"/>
    </row>
    <row r="27" ht="12.75" customHeight="1">
      <c r="A27" s="6"/>
      <c r="B27" s="6"/>
      <c r="C27" s="6"/>
      <c r="D27" s="6"/>
      <c r="E27" s="6"/>
      <c r="F27" s="6"/>
      <c r="G27" s="6"/>
      <c r="H27" s="6"/>
    </row>
    <row r="28" ht="12.75" customHeight="1">
      <c r="A28" s="6"/>
      <c r="B28" s="6"/>
      <c r="C28" s="6"/>
      <c r="D28" s="6"/>
      <c r="E28" s="6"/>
      <c r="F28" s="6"/>
      <c r="G28" s="6"/>
      <c r="H28" s="6"/>
    </row>
    <row r="29" ht="12.75" customHeight="1">
      <c r="A29" s="6"/>
      <c r="B29" s="6"/>
      <c r="C29" s="6"/>
      <c r="D29" s="6"/>
      <c r="E29" s="6"/>
      <c r="F29" s="6"/>
      <c r="G29" s="6"/>
      <c r="H29" s="6"/>
    </row>
    <row r="30" ht="12.75" customHeight="1">
      <c r="A30" s="6"/>
      <c r="B30" s="6"/>
      <c r="C30" s="6"/>
      <c r="D30" s="6"/>
      <c r="E30" s="6"/>
      <c r="F30" s="6"/>
      <c r="G30" s="6"/>
      <c r="H30" s="6"/>
    </row>
    <row r="31" ht="12.75" customHeight="1">
      <c r="A31" s="6"/>
      <c r="B31" s="6"/>
      <c r="C31" s="6"/>
      <c r="D31" s="6"/>
      <c r="E31" s="6"/>
      <c r="F31" s="6"/>
      <c r="G31" s="6"/>
      <c r="H31" s="6"/>
    </row>
    <row r="32" ht="12.75" customHeight="1">
      <c r="A32" s="6"/>
      <c r="B32" s="6"/>
      <c r="C32" s="6"/>
      <c r="D32" s="6"/>
      <c r="E32" s="6"/>
      <c r="F32" s="6"/>
      <c r="G32" s="6"/>
      <c r="H32" s="6"/>
    </row>
    <row r="33" ht="12.75" customHeight="1">
      <c r="A33" s="6"/>
      <c r="B33" s="6"/>
      <c r="C33" s="6"/>
      <c r="D33" s="6"/>
      <c r="E33" s="6"/>
      <c r="F33" s="6"/>
      <c r="G33" s="6"/>
      <c r="H33" s="6"/>
    </row>
    <row r="34" ht="12.75" customHeight="1">
      <c r="A34" s="6"/>
      <c r="B34" s="6"/>
      <c r="C34" s="6"/>
      <c r="D34" s="6"/>
      <c r="E34" s="6"/>
      <c r="F34" s="6"/>
      <c r="G34" s="6"/>
      <c r="H34" s="6"/>
    </row>
    <row r="35" ht="12.75" customHeight="1">
      <c r="A35" s="6"/>
      <c r="B35" s="6"/>
      <c r="C35" s="6"/>
      <c r="D35" s="6"/>
      <c r="E35" s="6"/>
      <c r="F35" s="6"/>
      <c r="G35" s="6"/>
      <c r="H35" s="6"/>
    </row>
    <row r="36" ht="12.75" customHeight="1">
      <c r="A36" s="6"/>
      <c r="B36" s="6"/>
      <c r="C36" s="6"/>
      <c r="D36" s="6"/>
      <c r="E36" s="6"/>
      <c r="F36" s="6"/>
      <c r="G36" s="6"/>
      <c r="H36" s="6"/>
    </row>
    <row r="37" ht="12.75" customHeight="1">
      <c r="A37" s="6"/>
      <c r="B37" s="6"/>
      <c r="C37" s="6"/>
      <c r="D37" s="6"/>
      <c r="E37" s="6"/>
      <c r="F37" s="6"/>
      <c r="G37" s="6"/>
      <c r="H37" s="6"/>
    </row>
    <row r="38" ht="12.75" customHeight="1">
      <c r="A38" s="6"/>
      <c r="B38" s="6"/>
      <c r="C38" s="6"/>
      <c r="D38" s="6"/>
      <c r="E38" s="6"/>
      <c r="F38" s="6"/>
      <c r="G38" s="6"/>
      <c r="H38" s="6"/>
    </row>
    <row r="39" ht="12.75" customHeight="1">
      <c r="A39" s="6"/>
      <c r="B39" s="6"/>
      <c r="C39" s="6"/>
      <c r="D39" s="6"/>
      <c r="E39" s="6"/>
      <c r="F39" s="6"/>
      <c r="G39" s="6"/>
      <c r="H39" s="6"/>
    </row>
    <row r="40" ht="12.75" customHeight="1">
      <c r="A40" s="6"/>
      <c r="B40" s="6"/>
      <c r="C40" s="6"/>
      <c r="D40" s="6"/>
      <c r="E40" s="6"/>
      <c r="F40" s="6"/>
      <c r="G40" s="6"/>
      <c r="H40" s="6"/>
    </row>
    <row r="41" ht="12.75" customHeight="1">
      <c r="A41" s="6"/>
      <c r="B41" s="6"/>
      <c r="C41" s="6"/>
      <c r="D41" s="6"/>
      <c r="E41" s="6"/>
      <c r="F41" s="6"/>
      <c r="G41" s="6"/>
      <c r="H41" s="6"/>
    </row>
    <row r="42" ht="12.75" customHeight="1">
      <c r="A42" s="6"/>
      <c r="B42" s="6"/>
      <c r="C42" s="6"/>
      <c r="D42" s="6"/>
      <c r="E42" s="6"/>
      <c r="F42" s="6"/>
      <c r="G42" s="6"/>
      <c r="H42" s="6"/>
    </row>
    <row r="43" ht="12.75" customHeight="1">
      <c r="A43" s="6"/>
      <c r="B43" s="6"/>
      <c r="C43" s="6"/>
      <c r="D43" s="6"/>
      <c r="E43" s="6"/>
      <c r="F43" s="6"/>
      <c r="G43" s="6"/>
      <c r="H43" s="6"/>
    </row>
    <row r="44" ht="12.75" customHeight="1">
      <c r="A44" s="6"/>
      <c r="B44" s="6"/>
      <c r="C44" s="6"/>
      <c r="D44" s="6"/>
      <c r="E44" s="6"/>
      <c r="F44" s="6"/>
      <c r="G44" s="6"/>
      <c r="H44" s="6"/>
    </row>
    <row r="45" ht="12.75" customHeight="1">
      <c r="A45" s="6"/>
      <c r="B45" s="6"/>
      <c r="C45" s="6"/>
      <c r="D45" s="6"/>
      <c r="E45" s="6"/>
      <c r="F45" s="6"/>
      <c r="G45" s="6"/>
      <c r="H45" s="6"/>
    </row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6.13"/>
    <col customWidth="1" min="2" max="2" width="40.25"/>
    <col customWidth="1" min="3" max="3" width="16.88"/>
    <col customWidth="1" min="4" max="4" width="20.13"/>
    <col customWidth="1" min="5" max="5" width="9.0"/>
    <col customWidth="1" min="6" max="6" width="10.25"/>
    <col customWidth="1" min="7" max="26" width="10.75"/>
  </cols>
  <sheetData>
    <row r="1" ht="12.75" customHeight="1">
      <c r="A1" s="1" t="s">
        <v>25</v>
      </c>
      <c r="B1" s="6"/>
      <c r="C1" s="6"/>
      <c r="D1" s="6"/>
      <c r="E1" s="6"/>
      <c r="F1" s="6"/>
      <c r="G1" s="6"/>
      <c r="H1" s="6"/>
    </row>
    <row r="2" ht="12.75" customHeight="1">
      <c r="A2" s="6"/>
      <c r="B2" s="6"/>
      <c r="C2" s="6"/>
      <c r="D2" s="6"/>
      <c r="E2" s="6"/>
      <c r="F2" s="6"/>
      <c r="G2" s="6"/>
      <c r="H2" s="6"/>
    </row>
    <row r="3" ht="12.75" customHeight="1">
      <c r="A3" s="24" t="s">
        <v>10</v>
      </c>
      <c r="B3" s="30" t="s">
        <v>10</v>
      </c>
      <c r="C3" s="32" t="s">
        <v>12</v>
      </c>
      <c r="D3" s="33" t="s">
        <v>20</v>
      </c>
      <c r="E3" s="30" t="s">
        <v>21</v>
      </c>
      <c r="F3" s="30" t="s">
        <v>12</v>
      </c>
      <c r="G3" s="35"/>
      <c r="H3" s="35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ht="12.75" customHeight="1">
      <c r="A4" s="38" t="s">
        <v>46</v>
      </c>
      <c r="B4" s="39" t="s">
        <v>19</v>
      </c>
      <c r="C4" s="5" t="s">
        <v>50</v>
      </c>
      <c r="D4" s="5" t="s">
        <v>51</v>
      </c>
      <c r="E4" s="39" t="s">
        <v>52</v>
      </c>
      <c r="F4" s="39" t="s">
        <v>22</v>
      </c>
      <c r="G4" s="6"/>
      <c r="H4" s="6"/>
    </row>
    <row r="5" ht="12.75" customHeight="1">
      <c r="A5" s="13"/>
      <c r="B5" s="13"/>
      <c r="C5" s="12" t="s">
        <v>24</v>
      </c>
      <c r="D5" s="12" t="s">
        <v>53</v>
      </c>
      <c r="E5" s="41" t="s">
        <v>55</v>
      </c>
      <c r="F5" s="41" t="s">
        <v>18</v>
      </c>
      <c r="G5" s="6"/>
      <c r="H5" s="6"/>
    </row>
    <row r="6" ht="12.75" customHeight="1">
      <c r="A6" s="42" t="s">
        <v>57</v>
      </c>
      <c r="B6" s="43" t="s">
        <v>59</v>
      </c>
      <c r="C6" s="19">
        <v>0.0</v>
      </c>
      <c r="D6" s="19">
        <v>0.0</v>
      </c>
      <c r="E6" s="19">
        <v>3.0</v>
      </c>
      <c r="F6" s="22">
        <f t="shared" ref="F6:F12" si="1">C6*E6+D6*E6</f>
        <v>0</v>
      </c>
      <c r="G6" s="6"/>
      <c r="H6" s="6"/>
    </row>
    <row r="7" ht="12.75" customHeight="1">
      <c r="A7" s="42" t="s">
        <v>64</v>
      </c>
      <c r="B7" s="19" t="s">
        <v>65</v>
      </c>
      <c r="C7" s="46">
        <v>0.0</v>
      </c>
      <c r="D7" s="19">
        <v>0.0</v>
      </c>
      <c r="E7" s="19">
        <v>1.0</v>
      </c>
      <c r="F7" s="22">
        <f t="shared" si="1"/>
        <v>0</v>
      </c>
      <c r="G7" s="6"/>
      <c r="H7" s="6"/>
    </row>
    <row r="8" ht="12.75" customHeight="1">
      <c r="A8" s="42" t="s">
        <v>66</v>
      </c>
      <c r="B8" s="19" t="s">
        <v>67</v>
      </c>
      <c r="C8" s="19">
        <v>0.0</v>
      </c>
      <c r="D8" s="19">
        <v>0.0</v>
      </c>
      <c r="E8" s="19">
        <v>3.0</v>
      </c>
      <c r="F8" s="22">
        <f t="shared" si="1"/>
        <v>0</v>
      </c>
      <c r="G8" s="6"/>
      <c r="H8" s="6"/>
    </row>
    <row r="9" ht="12.75" customHeight="1">
      <c r="A9" s="42" t="s">
        <v>68</v>
      </c>
      <c r="B9" s="19" t="s">
        <v>69</v>
      </c>
      <c r="C9" s="19">
        <v>0.0</v>
      </c>
      <c r="D9" s="19">
        <v>0.0</v>
      </c>
      <c r="E9" s="19">
        <v>1.0</v>
      </c>
      <c r="F9" s="22">
        <f t="shared" si="1"/>
        <v>0</v>
      </c>
      <c r="G9" s="6"/>
      <c r="H9" s="6"/>
    </row>
    <row r="10" ht="12.75" customHeight="1">
      <c r="A10" s="42" t="s">
        <v>70</v>
      </c>
      <c r="B10" s="19" t="s">
        <v>71</v>
      </c>
      <c r="C10" s="19">
        <v>0.0</v>
      </c>
      <c r="D10" s="19">
        <v>0.0</v>
      </c>
      <c r="E10" s="19">
        <v>2.0</v>
      </c>
      <c r="F10" s="22">
        <f t="shared" si="1"/>
        <v>0</v>
      </c>
      <c r="G10" s="6"/>
      <c r="H10" s="6"/>
    </row>
    <row r="11" ht="12.75" customHeight="1">
      <c r="A11" s="42" t="s">
        <v>73</v>
      </c>
      <c r="B11" s="19" t="s">
        <v>74</v>
      </c>
      <c r="C11" s="19">
        <v>0.0</v>
      </c>
      <c r="D11" s="19">
        <v>0.0</v>
      </c>
      <c r="E11" s="19">
        <v>1.0</v>
      </c>
      <c r="F11" s="22">
        <f t="shared" si="1"/>
        <v>0</v>
      </c>
      <c r="G11" s="6"/>
      <c r="H11" s="6"/>
    </row>
    <row r="12" ht="12.75" customHeight="1">
      <c r="A12" s="42"/>
      <c r="B12" s="19"/>
      <c r="C12" s="19"/>
      <c r="D12" s="19"/>
      <c r="E12" s="19"/>
      <c r="F12" s="22">
        <f t="shared" si="1"/>
        <v>0</v>
      </c>
      <c r="G12" s="6"/>
      <c r="H12" s="6"/>
    </row>
    <row r="13" ht="12.75" customHeight="1">
      <c r="A13" s="14" t="s">
        <v>36</v>
      </c>
      <c r="B13" s="25"/>
      <c r="C13" s="25"/>
      <c r="D13" s="25"/>
      <c r="E13" s="25"/>
      <c r="F13" s="26">
        <f>SUM(F6:F12)</f>
        <v>0</v>
      </c>
      <c r="G13" s="6"/>
      <c r="H13" s="6"/>
    </row>
    <row r="14" ht="12.75" customHeight="1">
      <c r="A14" s="6"/>
      <c r="B14" s="35"/>
      <c r="C14" s="35"/>
      <c r="D14" s="35"/>
      <c r="E14" s="35"/>
      <c r="F14" s="2"/>
      <c r="G14" s="6"/>
      <c r="H14" s="6"/>
    </row>
    <row r="15" ht="12.75" customHeight="1">
      <c r="A15" s="47"/>
      <c r="B15" s="6"/>
      <c r="C15" s="6"/>
      <c r="D15" s="6"/>
      <c r="E15" s="6"/>
      <c r="F15" s="6"/>
      <c r="G15" s="6"/>
      <c r="H15" s="6"/>
    </row>
    <row r="16" ht="12.75" customHeight="1">
      <c r="A16" s="47"/>
      <c r="B16" s="6"/>
      <c r="C16" s="6"/>
      <c r="D16" s="6"/>
      <c r="E16" s="6"/>
      <c r="F16" s="6"/>
      <c r="G16" s="6"/>
      <c r="H16" s="6"/>
    </row>
    <row r="17" ht="12.75" customHeight="1">
      <c r="A17" s="1" t="s">
        <v>80</v>
      </c>
      <c r="B17" s="6"/>
      <c r="C17" s="6"/>
      <c r="D17" s="6"/>
      <c r="E17" s="6"/>
      <c r="F17" s="6"/>
      <c r="G17" s="6"/>
      <c r="H17" s="6"/>
    </row>
    <row r="18" ht="12.75" customHeight="1">
      <c r="A18" s="6"/>
      <c r="B18" s="6"/>
      <c r="C18" s="6"/>
      <c r="D18" s="6"/>
      <c r="E18" s="6"/>
      <c r="F18" s="6"/>
      <c r="G18" s="6"/>
      <c r="H18" s="6"/>
    </row>
    <row r="19" ht="12.75" customHeight="1">
      <c r="A19" s="24" t="s">
        <v>10</v>
      </c>
      <c r="B19" s="30" t="s">
        <v>10</v>
      </c>
      <c r="C19" s="32" t="s">
        <v>12</v>
      </c>
      <c r="D19" s="33" t="s">
        <v>20</v>
      </c>
      <c r="E19" s="30" t="s">
        <v>21</v>
      </c>
      <c r="F19" s="30" t="s">
        <v>12</v>
      </c>
      <c r="G19" s="6"/>
      <c r="H19" s="6"/>
    </row>
    <row r="20" ht="12.75" customHeight="1">
      <c r="A20" s="38" t="s">
        <v>81</v>
      </c>
      <c r="B20" s="39" t="s">
        <v>19</v>
      </c>
      <c r="C20" s="5" t="s">
        <v>50</v>
      </c>
      <c r="D20" s="5" t="s">
        <v>51</v>
      </c>
      <c r="E20" s="39" t="s">
        <v>52</v>
      </c>
      <c r="F20" s="39" t="s">
        <v>22</v>
      </c>
      <c r="G20" s="6"/>
      <c r="H20" s="6"/>
    </row>
    <row r="21" ht="12.75" customHeight="1">
      <c r="A21" s="13"/>
      <c r="B21" s="13"/>
      <c r="C21" s="12" t="s">
        <v>83</v>
      </c>
      <c r="D21" s="12" t="s">
        <v>53</v>
      </c>
      <c r="E21" s="41" t="s">
        <v>55</v>
      </c>
      <c r="F21" s="41" t="s">
        <v>18</v>
      </c>
      <c r="G21" s="6"/>
      <c r="H21" s="6"/>
    </row>
    <row r="22" ht="15.75" customHeight="1">
      <c r="A22" s="42" t="s">
        <v>84</v>
      </c>
      <c r="B22" s="55" t="s">
        <v>85</v>
      </c>
      <c r="C22" s="19">
        <v>0.0</v>
      </c>
      <c r="D22" s="42">
        <v>0.0</v>
      </c>
      <c r="E22" s="42">
        <v>2.0</v>
      </c>
      <c r="F22" s="22">
        <f t="shared" ref="F22:F26" si="2">C22*E22+D22*E22</f>
        <v>0</v>
      </c>
      <c r="G22" s="6"/>
      <c r="H22" s="6"/>
    </row>
    <row r="23" ht="15.75" customHeight="1">
      <c r="A23" s="42" t="s">
        <v>87</v>
      </c>
      <c r="B23" s="19" t="s">
        <v>88</v>
      </c>
      <c r="C23" s="19">
        <v>0.0</v>
      </c>
      <c r="D23" s="42">
        <v>0.0</v>
      </c>
      <c r="E23" s="42">
        <v>2.0</v>
      </c>
      <c r="F23" s="22">
        <f t="shared" si="2"/>
        <v>0</v>
      </c>
      <c r="G23" s="6"/>
      <c r="H23" s="6"/>
    </row>
    <row r="24" ht="15.75" customHeight="1">
      <c r="A24" s="42" t="s">
        <v>89</v>
      </c>
      <c r="B24" s="19" t="s">
        <v>90</v>
      </c>
      <c r="C24" s="19">
        <v>0.0</v>
      </c>
      <c r="D24" s="42">
        <v>0.0</v>
      </c>
      <c r="E24" s="42">
        <v>2.0</v>
      </c>
      <c r="F24" s="22">
        <f t="shared" si="2"/>
        <v>0</v>
      </c>
      <c r="G24" s="6"/>
      <c r="H24" s="6"/>
    </row>
    <row r="25" ht="12.75" customHeight="1">
      <c r="A25" s="42" t="s">
        <v>91</v>
      </c>
      <c r="B25" s="19" t="s">
        <v>92</v>
      </c>
      <c r="C25" s="19">
        <v>0.0</v>
      </c>
      <c r="D25" s="42">
        <v>0.0</v>
      </c>
      <c r="E25" s="42">
        <v>1.0</v>
      </c>
      <c r="F25" s="22">
        <f t="shared" si="2"/>
        <v>0</v>
      </c>
      <c r="G25" s="6"/>
      <c r="H25" s="6"/>
    </row>
    <row r="26" ht="12.75" customHeight="1">
      <c r="A26" s="42"/>
      <c r="B26" s="19"/>
      <c r="C26" s="19"/>
      <c r="D26" s="42"/>
      <c r="E26" s="42"/>
      <c r="F26" s="22">
        <f t="shared" si="2"/>
        <v>0</v>
      </c>
      <c r="G26" s="6"/>
      <c r="H26" s="6"/>
    </row>
    <row r="27" ht="12.75" customHeight="1">
      <c r="A27" s="14" t="s">
        <v>36</v>
      </c>
      <c r="B27" s="25"/>
      <c r="C27" s="25"/>
      <c r="D27" s="25"/>
      <c r="E27" s="25"/>
      <c r="F27" s="26">
        <f>SUM(F22:F26)</f>
        <v>0</v>
      </c>
      <c r="G27" s="6"/>
      <c r="H27" s="6"/>
    </row>
    <row r="28" ht="12.75" customHeight="1">
      <c r="A28" s="6"/>
      <c r="B28" s="6"/>
      <c r="C28" s="6"/>
      <c r="D28" s="6"/>
      <c r="E28" s="6"/>
      <c r="F28" s="6"/>
      <c r="G28" s="6"/>
      <c r="H28" s="6"/>
    </row>
    <row r="29" ht="12.75" customHeight="1">
      <c r="A29" s="6"/>
      <c r="B29" s="6"/>
      <c r="C29" s="6"/>
      <c r="D29" s="6"/>
      <c r="E29" s="6"/>
      <c r="F29" s="6"/>
      <c r="G29" s="6"/>
      <c r="H29" s="6"/>
    </row>
    <row r="30" ht="12.75" customHeight="1">
      <c r="A30" s="6"/>
      <c r="B30" s="6"/>
      <c r="C30" s="6"/>
      <c r="D30" s="6"/>
      <c r="E30" s="6"/>
      <c r="F30" s="6"/>
      <c r="G30" s="6"/>
      <c r="H30" s="6"/>
    </row>
    <row r="31" ht="12.75" customHeight="1">
      <c r="A31" s="6"/>
      <c r="B31" s="6"/>
      <c r="C31" s="6"/>
      <c r="D31" s="6"/>
      <c r="E31" s="6"/>
      <c r="F31" s="6"/>
      <c r="G31" s="6"/>
      <c r="H31" s="6"/>
    </row>
    <row r="32" ht="12.75" customHeight="1">
      <c r="A32" s="6"/>
      <c r="B32" s="6"/>
      <c r="C32" s="6"/>
      <c r="D32" s="6"/>
      <c r="E32" s="6"/>
      <c r="F32" s="6"/>
      <c r="G32" s="6"/>
      <c r="H32" s="6"/>
    </row>
    <row r="33" ht="15.75" customHeight="1">
      <c r="A33" s="6"/>
      <c r="B33" s="6"/>
      <c r="C33" s="6"/>
      <c r="D33" s="6"/>
      <c r="E33" s="6"/>
      <c r="F33" s="6"/>
      <c r="G33" s="6"/>
      <c r="H33" s="6"/>
    </row>
    <row r="34" ht="12.75" customHeight="1">
      <c r="A34" s="1"/>
      <c r="B34" s="6"/>
      <c r="C34" s="6"/>
      <c r="D34" s="6"/>
      <c r="E34" s="6"/>
      <c r="F34" s="6"/>
      <c r="G34" s="6"/>
      <c r="H34" s="6"/>
    </row>
    <row r="35" ht="12.75" customHeight="1">
      <c r="A35" s="6"/>
      <c r="B35" s="6"/>
      <c r="C35" s="6"/>
      <c r="D35" s="6"/>
      <c r="E35" s="6"/>
      <c r="F35" s="6"/>
      <c r="G35" s="6"/>
      <c r="H35" s="6"/>
    </row>
    <row r="36" ht="12.75" customHeight="1">
      <c r="A36" s="6"/>
      <c r="B36" s="6"/>
      <c r="C36" s="6"/>
      <c r="D36" s="6"/>
      <c r="E36" s="6"/>
      <c r="F36" s="6"/>
      <c r="G36" s="6"/>
      <c r="H36" s="6"/>
    </row>
    <row r="37" ht="12.75" customHeight="1">
      <c r="A37" s="6"/>
      <c r="B37" s="6"/>
      <c r="C37" s="6"/>
      <c r="D37" s="6"/>
      <c r="E37" s="6"/>
      <c r="F37" s="6"/>
      <c r="G37" s="6"/>
      <c r="H37" s="6"/>
    </row>
    <row r="38" ht="12.75" customHeight="1">
      <c r="A38" s="6"/>
      <c r="B38" s="6"/>
      <c r="C38" s="6"/>
      <c r="D38" s="6"/>
      <c r="E38" s="6"/>
      <c r="F38" s="6"/>
      <c r="G38" s="6"/>
      <c r="H38" s="6"/>
    </row>
    <row r="39" ht="12.75" customHeight="1">
      <c r="A39" s="6"/>
      <c r="B39" s="6"/>
      <c r="C39" s="6"/>
      <c r="D39" s="6"/>
      <c r="E39" s="6"/>
      <c r="F39" s="6"/>
      <c r="G39" s="6"/>
      <c r="H39" s="6"/>
    </row>
    <row r="40" ht="12.75" customHeight="1">
      <c r="A40" s="6"/>
      <c r="B40" s="6"/>
      <c r="C40" s="6"/>
      <c r="D40" s="6"/>
      <c r="E40" s="6"/>
      <c r="F40" s="6"/>
      <c r="G40" s="6"/>
      <c r="H40" s="6"/>
    </row>
    <row r="41" ht="12.75" customHeight="1">
      <c r="A41" s="6"/>
      <c r="B41" s="6"/>
      <c r="C41" s="6"/>
      <c r="D41" s="6"/>
      <c r="E41" s="6"/>
      <c r="F41" s="6"/>
      <c r="G41" s="6"/>
      <c r="H41" s="6"/>
    </row>
    <row r="42" ht="12.75" customHeight="1">
      <c r="A42" s="6"/>
      <c r="B42" s="6"/>
      <c r="C42" s="6"/>
      <c r="D42" s="6"/>
      <c r="E42" s="6"/>
      <c r="F42" s="6"/>
      <c r="G42" s="6"/>
      <c r="H42" s="6"/>
    </row>
    <row r="43" ht="12.75" customHeight="1">
      <c r="A43" s="6"/>
      <c r="B43" s="6"/>
      <c r="C43" s="6"/>
      <c r="D43" s="6"/>
      <c r="E43" s="6"/>
      <c r="F43" s="6"/>
      <c r="G43" s="6"/>
      <c r="H43" s="6"/>
    </row>
    <row r="44" ht="12.75" customHeight="1">
      <c r="A44" s="6"/>
      <c r="B44" s="6"/>
      <c r="C44" s="6"/>
      <c r="D44" s="6"/>
      <c r="E44" s="6"/>
      <c r="F44" s="6"/>
      <c r="G44" s="6"/>
      <c r="H44" s="6"/>
    </row>
    <row r="45" ht="12.75" customHeight="1">
      <c r="A45" s="6"/>
      <c r="B45" s="6"/>
      <c r="C45" s="6"/>
      <c r="D45" s="6"/>
      <c r="E45" s="6"/>
      <c r="F45" s="6"/>
      <c r="G45" s="6"/>
      <c r="H45" s="6"/>
    </row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0.38"/>
    <col customWidth="1" min="2" max="24" width="10.75"/>
  </cols>
  <sheetData>
    <row r="1" ht="12.75" customHeight="1">
      <c r="A1" s="1" t="s">
        <v>1</v>
      </c>
      <c r="B1" s="6"/>
      <c r="C1" s="6"/>
      <c r="D1" s="6"/>
      <c r="E1" s="6"/>
      <c r="F1" s="6"/>
      <c r="G1" s="6"/>
      <c r="H1" s="6"/>
    </row>
    <row r="2" ht="12.75" customHeight="1">
      <c r="A2" s="6"/>
      <c r="B2" s="6"/>
      <c r="C2" s="6"/>
      <c r="D2" s="6"/>
      <c r="E2" s="6"/>
      <c r="F2" s="6"/>
      <c r="G2" s="6"/>
      <c r="H2" s="6"/>
    </row>
    <row r="3" ht="12.75" customHeight="1">
      <c r="A3" s="8" t="s">
        <v>10</v>
      </c>
      <c r="B3" s="8" t="s">
        <v>12</v>
      </c>
      <c r="C3" s="8" t="s">
        <v>10</v>
      </c>
      <c r="D3" s="8" t="s">
        <v>12</v>
      </c>
      <c r="E3" s="6"/>
      <c r="F3" s="6"/>
      <c r="G3" s="6"/>
      <c r="H3" s="6"/>
    </row>
    <row r="4" ht="12.75" customHeight="1">
      <c r="A4" s="11" t="s">
        <v>19</v>
      </c>
      <c r="B4" s="11" t="s">
        <v>20</v>
      </c>
      <c r="C4" s="11" t="s">
        <v>21</v>
      </c>
      <c r="D4" s="11" t="s">
        <v>22</v>
      </c>
      <c r="E4" s="6"/>
      <c r="F4" s="6"/>
      <c r="G4" s="6"/>
      <c r="H4" s="6"/>
    </row>
    <row r="5" ht="12.75" customHeight="1">
      <c r="A5" s="13"/>
      <c r="B5" s="16" t="s">
        <v>24</v>
      </c>
      <c r="C5" s="16"/>
      <c r="D5" s="16" t="s">
        <v>18</v>
      </c>
      <c r="E5" s="6"/>
      <c r="F5" s="6"/>
      <c r="G5" s="6"/>
      <c r="H5" s="6"/>
    </row>
    <row r="6" ht="12.75" customHeight="1">
      <c r="A6" s="19" t="s">
        <v>27</v>
      </c>
      <c r="B6" s="19">
        <v>0.0</v>
      </c>
      <c r="C6" s="19">
        <v>1.0</v>
      </c>
      <c r="D6" s="22">
        <f t="shared" ref="D6:D11" si="1">B6*C6</f>
        <v>0</v>
      </c>
      <c r="E6" s="6"/>
      <c r="F6" s="6"/>
      <c r="G6" s="6"/>
      <c r="H6" s="6"/>
    </row>
    <row r="7" ht="12.75" customHeight="1">
      <c r="A7" s="19" t="s">
        <v>30</v>
      </c>
      <c r="B7" s="19">
        <v>0.0</v>
      </c>
      <c r="C7" s="19">
        <v>1.0</v>
      </c>
      <c r="D7" s="22">
        <f t="shared" si="1"/>
        <v>0</v>
      </c>
      <c r="E7" s="6"/>
      <c r="F7" s="6"/>
      <c r="G7" s="6"/>
      <c r="H7" s="6"/>
    </row>
    <row r="8" ht="12.75" customHeight="1">
      <c r="A8" s="14" t="s">
        <v>31</v>
      </c>
      <c r="B8" s="25">
        <v>0.0</v>
      </c>
      <c r="C8" s="17">
        <v>1.0</v>
      </c>
      <c r="D8" s="26">
        <f t="shared" si="1"/>
        <v>0</v>
      </c>
      <c r="E8" s="15"/>
      <c r="F8" s="15"/>
      <c r="G8" s="15"/>
      <c r="H8" s="15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12.75" customHeight="1">
      <c r="A9" s="1" t="s">
        <v>39</v>
      </c>
      <c r="B9" s="15">
        <v>0.0</v>
      </c>
      <c r="C9" s="15">
        <v>1.0</v>
      </c>
      <c r="D9" s="1">
        <f t="shared" si="1"/>
        <v>0</v>
      </c>
      <c r="E9" s="15"/>
      <c r="F9" s="15"/>
      <c r="G9" s="15"/>
      <c r="H9" s="15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12.75" customHeight="1">
      <c r="A10" s="6" t="s">
        <v>40</v>
      </c>
      <c r="B10" s="15">
        <v>0.0</v>
      </c>
      <c r="C10" s="15">
        <v>1.0</v>
      </c>
      <c r="D10" s="1">
        <f t="shared" si="1"/>
        <v>0</v>
      </c>
      <c r="E10" s="15"/>
      <c r="F10" s="15"/>
      <c r="G10" s="15"/>
      <c r="H10" s="15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12.75" customHeight="1">
      <c r="A11" s="6" t="s">
        <v>41</v>
      </c>
      <c r="B11" s="15">
        <v>0.0</v>
      </c>
      <c r="C11" s="15">
        <v>1.0</v>
      </c>
      <c r="D11" s="1">
        <f t="shared" si="1"/>
        <v>0</v>
      </c>
      <c r="E11" s="15"/>
      <c r="F11" s="15"/>
      <c r="G11" s="15"/>
      <c r="H11" s="15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12.75" customHeight="1">
      <c r="A12" s="34" t="s">
        <v>36</v>
      </c>
      <c r="B12" s="15"/>
      <c r="C12" s="15"/>
      <c r="D12" s="37">
        <f>SUM(D6:D11)</f>
        <v>0</v>
      </c>
      <c r="E12" s="15"/>
      <c r="F12" s="15"/>
      <c r="G12" s="15"/>
      <c r="H12" s="15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12.75" customHeight="1">
      <c r="A13" s="6"/>
      <c r="B13" s="6"/>
      <c r="C13" s="6"/>
      <c r="D13" s="6"/>
      <c r="E13" s="6"/>
      <c r="F13" s="6"/>
      <c r="G13" s="6"/>
      <c r="H13" s="6"/>
    </row>
    <row r="14" ht="12.75" customHeight="1">
      <c r="A14" s="1" t="s">
        <v>47</v>
      </c>
      <c r="B14" s="6"/>
      <c r="C14" s="6"/>
      <c r="D14" s="6"/>
      <c r="E14" s="6"/>
      <c r="F14" s="6"/>
      <c r="G14" s="6"/>
      <c r="H14" s="6"/>
    </row>
    <row r="15" ht="12.75" customHeight="1">
      <c r="A15" s="6"/>
      <c r="B15" s="6"/>
      <c r="C15" s="6"/>
      <c r="D15" s="6"/>
      <c r="E15" s="6"/>
      <c r="F15" s="6"/>
      <c r="G15" s="6"/>
      <c r="H15" s="6"/>
    </row>
    <row r="16" ht="12.75" customHeight="1">
      <c r="A16" s="8" t="s">
        <v>10</v>
      </c>
      <c r="B16" s="8" t="s">
        <v>12</v>
      </c>
      <c r="C16" s="8" t="s">
        <v>10</v>
      </c>
      <c r="D16" s="8" t="s">
        <v>12</v>
      </c>
      <c r="E16" s="6"/>
      <c r="F16" s="6"/>
      <c r="G16" s="6"/>
      <c r="H16" s="6"/>
    </row>
    <row r="17" ht="12.75" customHeight="1">
      <c r="A17" s="11" t="s">
        <v>19</v>
      </c>
      <c r="B17" s="11" t="s">
        <v>20</v>
      </c>
      <c r="C17" s="11" t="s">
        <v>21</v>
      </c>
      <c r="D17" s="11" t="s">
        <v>22</v>
      </c>
      <c r="E17" s="6"/>
      <c r="F17" s="6"/>
      <c r="G17" s="6"/>
      <c r="H17" s="6"/>
    </row>
    <row r="18" ht="12.75" customHeight="1">
      <c r="A18" s="13"/>
      <c r="B18" s="16" t="s">
        <v>24</v>
      </c>
      <c r="C18" s="16"/>
      <c r="D18" s="16" t="s">
        <v>18</v>
      </c>
      <c r="E18" s="6"/>
      <c r="F18" s="6"/>
      <c r="G18" s="6"/>
      <c r="H18" s="6"/>
    </row>
    <row r="19" ht="12.75" customHeight="1">
      <c r="A19" s="19" t="s">
        <v>54</v>
      </c>
      <c r="B19" s="22">
        <v>0.0</v>
      </c>
      <c r="C19" s="19">
        <v>1.0</v>
      </c>
      <c r="D19" s="22">
        <f t="shared" ref="D19:D23" si="2">B19*C19</f>
        <v>0</v>
      </c>
      <c r="E19" s="6"/>
      <c r="F19" s="6"/>
      <c r="G19" s="6"/>
      <c r="H19" s="6"/>
    </row>
    <row r="20" ht="12.75" customHeight="1">
      <c r="A20" s="19" t="s">
        <v>58</v>
      </c>
      <c r="B20" s="22">
        <v>0.0</v>
      </c>
      <c r="C20" s="19">
        <v>1.0</v>
      </c>
      <c r="D20" s="22">
        <f t="shared" si="2"/>
        <v>0</v>
      </c>
      <c r="E20" s="6"/>
      <c r="F20" s="6"/>
      <c r="G20" s="6"/>
      <c r="H20" s="6"/>
    </row>
    <row r="21" ht="12.75" customHeight="1">
      <c r="A21" s="19" t="s">
        <v>61</v>
      </c>
      <c r="B21" s="22">
        <v>0.0</v>
      </c>
      <c r="C21" s="19">
        <v>1.0</v>
      </c>
      <c r="D21" s="22">
        <f t="shared" si="2"/>
        <v>0</v>
      </c>
      <c r="E21" s="6"/>
      <c r="F21" s="6"/>
      <c r="G21" s="6"/>
      <c r="H21" s="6"/>
    </row>
    <row r="22" ht="12.75" customHeight="1">
      <c r="A22" s="19" t="s">
        <v>63</v>
      </c>
      <c r="B22" s="22">
        <v>0.0</v>
      </c>
      <c r="C22" s="19">
        <v>1.0</v>
      </c>
      <c r="D22" s="22">
        <f t="shared" si="2"/>
        <v>0</v>
      </c>
      <c r="E22" s="6"/>
      <c r="F22" s="6"/>
      <c r="G22" s="6"/>
      <c r="H22" s="6"/>
    </row>
    <row r="23" ht="12.75" customHeight="1">
      <c r="A23" s="19"/>
      <c r="B23" s="22"/>
      <c r="C23" s="19"/>
      <c r="D23" s="22">
        <f t="shared" si="2"/>
        <v>0</v>
      </c>
      <c r="E23" s="6"/>
      <c r="F23" s="6"/>
      <c r="G23" s="6"/>
      <c r="H23" s="6"/>
    </row>
    <row r="24" ht="12.75" customHeight="1">
      <c r="A24" s="14" t="s">
        <v>36</v>
      </c>
      <c r="B24" s="25"/>
      <c r="C24" s="17"/>
      <c r="D24" s="26">
        <f>SUM(D19:D23)</f>
        <v>0</v>
      </c>
      <c r="E24" s="6"/>
      <c r="F24" s="6"/>
      <c r="G24" s="6"/>
      <c r="H24" s="6"/>
    </row>
    <row r="25" ht="12.75" customHeight="1">
      <c r="A25" s="6"/>
      <c r="B25" s="6"/>
      <c r="C25" s="6"/>
      <c r="D25" s="6"/>
      <c r="E25" s="6"/>
      <c r="F25" s="6"/>
      <c r="G25" s="6"/>
      <c r="H25" s="6"/>
    </row>
    <row r="26" ht="12.75" customHeight="1">
      <c r="A26" s="6"/>
      <c r="B26" s="6"/>
      <c r="C26" s="6"/>
      <c r="D26" s="6"/>
      <c r="E26" s="6"/>
      <c r="F26" s="6"/>
      <c r="G26" s="6"/>
      <c r="H26" s="6"/>
    </row>
    <row r="27" ht="12.75" customHeight="1">
      <c r="A27" s="6"/>
      <c r="B27" s="6"/>
      <c r="C27" s="6"/>
      <c r="D27" s="6"/>
      <c r="E27" s="6"/>
      <c r="F27" s="6"/>
      <c r="G27" s="6"/>
      <c r="H27" s="6"/>
    </row>
    <row r="28" ht="12.75" customHeight="1">
      <c r="A28" s="1"/>
      <c r="B28" s="6"/>
      <c r="C28" s="6"/>
      <c r="D28" s="6"/>
      <c r="E28" s="6"/>
      <c r="F28" s="6"/>
      <c r="G28" s="6"/>
      <c r="H28" s="6"/>
    </row>
    <row r="29" ht="12.75" customHeight="1">
      <c r="A29" s="1"/>
      <c r="B29" s="6"/>
      <c r="C29" s="6"/>
      <c r="D29" s="6"/>
      <c r="E29" s="6"/>
      <c r="F29" s="6"/>
      <c r="G29" s="6"/>
      <c r="H29" s="6"/>
    </row>
    <row r="30" ht="12.75" customHeight="1">
      <c r="A30" s="6"/>
      <c r="B30" s="6"/>
      <c r="C30" s="6"/>
      <c r="D30" s="6"/>
      <c r="E30" s="6"/>
      <c r="F30" s="6"/>
      <c r="G30" s="6"/>
      <c r="H30" s="6"/>
    </row>
    <row r="31" ht="12.75" customHeight="1">
      <c r="A31" s="6"/>
      <c r="B31" s="6"/>
      <c r="C31" s="6"/>
      <c r="D31" s="6"/>
      <c r="E31" s="6"/>
      <c r="F31" s="6"/>
      <c r="G31" s="6"/>
      <c r="H31" s="6"/>
      <c r="O31" s="27"/>
    </row>
    <row r="32" ht="12.75" customHeight="1">
      <c r="A32" s="6"/>
      <c r="B32" s="6"/>
      <c r="C32" s="6"/>
      <c r="D32" s="6"/>
      <c r="E32" s="6"/>
      <c r="F32" s="6"/>
      <c r="G32" s="6"/>
      <c r="H32" s="6"/>
    </row>
    <row r="33" ht="12.75" customHeight="1">
      <c r="A33" s="6"/>
      <c r="B33" s="6"/>
      <c r="C33" s="6"/>
      <c r="D33" s="6"/>
      <c r="E33" s="6"/>
      <c r="F33" s="6"/>
      <c r="G33" s="6"/>
      <c r="H33" s="6"/>
    </row>
    <row r="34" ht="12.75" customHeight="1">
      <c r="A34" s="6"/>
      <c r="B34" s="6"/>
      <c r="C34" s="6"/>
      <c r="D34" s="6"/>
      <c r="E34" s="6"/>
      <c r="F34" s="6"/>
      <c r="G34" s="6"/>
      <c r="H34" s="6"/>
    </row>
    <row r="35" ht="12.75" customHeight="1">
      <c r="A35" s="6"/>
      <c r="B35" s="6"/>
      <c r="C35" s="6"/>
      <c r="D35" s="6"/>
      <c r="E35" s="6"/>
      <c r="F35" s="6"/>
      <c r="G35" s="6"/>
      <c r="H35" s="6"/>
    </row>
    <row r="36" ht="12.75" customHeight="1">
      <c r="A36" s="6"/>
      <c r="B36" s="6"/>
      <c r="C36" s="6"/>
      <c r="D36" s="6"/>
      <c r="E36" s="6"/>
      <c r="F36" s="6"/>
      <c r="G36" s="6"/>
      <c r="H36" s="6"/>
    </row>
    <row r="37" ht="12.75" customHeight="1">
      <c r="A37" s="6"/>
      <c r="B37" s="6"/>
      <c r="C37" s="6"/>
      <c r="D37" s="6"/>
      <c r="E37" s="6"/>
      <c r="F37" s="6"/>
      <c r="G37" s="6"/>
      <c r="H37" s="6"/>
    </row>
    <row r="38" ht="12.75" customHeight="1">
      <c r="A38" s="6"/>
      <c r="B38" s="6"/>
      <c r="C38" s="6"/>
      <c r="D38" s="6"/>
      <c r="E38" s="6"/>
      <c r="F38" s="6"/>
      <c r="G38" s="6"/>
      <c r="H38" s="6"/>
    </row>
    <row r="39" ht="12.75" customHeight="1">
      <c r="A39" s="6"/>
      <c r="B39" s="6"/>
      <c r="C39" s="6"/>
      <c r="D39" s="6"/>
      <c r="E39" s="6"/>
      <c r="F39" s="6"/>
      <c r="G39" s="6"/>
      <c r="H39" s="6"/>
    </row>
    <row r="40" ht="12.75" customHeight="1">
      <c r="A40" s="6"/>
      <c r="B40" s="6"/>
      <c r="C40" s="6"/>
      <c r="D40" s="6"/>
      <c r="E40" s="6"/>
      <c r="F40" s="6"/>
      <c r="G40" s="6"/>
      <c r="H40" s="6"/>
    </row>
    <row r="41" ht="12.75" customHeight="1">
      <c r="A41" s="6"/>
      <c r="B41" s="6"/>
      <c r="C41" s="6"/>
      <c r="D41" s="6"/>
      <c r="E41" s="6"/>
      <c r="F41" s="6"/>
      <c r="G41" s="6"/>
      <c r="H41" s="6"/>
    </row>
    <row r="42" ht="12.75" customHeight="1">
      <c r="A42" s="6"/>
      <c r="B42" s="6"/>
      <c r="C42" s="6"/>
      <c r="D42" s="6"/>
      <c r="E42" s="6"/>
      <c r="F42" s="6"/>
      <c r="G42" s="6"/>
      <c r="H42" s="6"/>
    </row>
    <row r="43" ht="12.75" customHeight="1">
      <c r="A43" s="6"/>
      <c r="B43" s="6"/>
      <c r="C43" s="6"/>
      <c r="D43" s="6"/>
      <c r="E43" s="6"/>
      <c r="F43" s="6"/>
      <c r="G43" s="6"/>
      <c r="H43" s="6"/>
    </row>
    <row r="44" ht="12.75" customHeight="1">
      <c r="A44" s="6"/>
      <c r="B44" s="6"/>
      <c r="C44" s="6"/>
      <c r="D44" s="6"/>
      <c r="E44" s="6"/>
      <c r="F44" s="6"/>
      <c r="G44" s="6"/>
      <c r="H44" s="6"/>
    </row>
    <row r="45" ht="12.75" customHeight="1">
      <c r="A45" s="6"/>
      <c r="B45" s="6"/>
      <c r="C45" s="6"/>
      <c r="D45" s="6"/>
      <c r="E45" s="6"/>
      <c r="F45" s="6"/>
      <c r="G45" s="6"/>
      <c r="H45" s="6"/>
    </row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7.38"/>
    <col customWidth="1" min="2" max="6" width="10.75"/>
    <col customWidth="1" min="7" max="8" width="14.38"/>
  </cols>
  <sheetData>
    <row r="1" ht="12.75" customHeight="1">
      <c r="A1" s="6"/>
      <c r="B1" s="6"/>
      <c r="C1" s="6"/>
      <c r="D1" s="6"/>
      <c r="E1" s="6"/>
      <c r="F1" s="6"/>
      <c r="G1" s="6"/>
      <c r="H1" s="6"/>
    </row>
    <row r="2" ht="12.75" customHeight="1">
      <c r="A2" s="1" t="s">
        <v>13</v>
      </c>
      <c r="B2" s="6"/>
      <c r="C2" s="6"/>
      <c r="D2" s="6"/>
      <c r="E2" s="6"/>
      <c r="F2" s="6"/>
      <c r="G2" s="6"/>
      <c r="H2" s="6"/>
    </row>
    <row r="3" ht="12.75" customHeight="1">
      <c r="A3" s="6"/>
      <c r="B3" s="6"/>
      <c r="C3" s="6"/>
      <c r="D3" s="6"/>
      <c r="E3" s="6"/>
      <c r="F3" s="6"/>
      <c r="G3" s="6"/>
      <c r="H3" s="6"/>
    </row>
    <row r="4" ht="12.75" customHeight="1">
      <c r="A4" s="8" t="s">
        <v>10</v>
      </c>
      <c r="B4" s="8" t="s">
        <v>12</v>
      </c>
      <c r="C4" s="8" t="s">
        <v>10</v>
      </c>
      <c r="D4" s="8" t="s">
        <v>12</v>
      </c>
      <c r="E4" s="6"/>
      <c r="F4" s="6"/>
      <c r="G4" s="6"/>
      <c r="H4" s="6"/>
    </row>
    <row r="5" ht="12.75" customHeight="1">
      <c r="A5" s="11" t="s">
        <v>19</v>
      </c>
      <c r="B5" s="11" t="s">
        <v>20</v>
      </c>
      <c r="C5" s="11" t="s">
        <v>21</v>
      </c>
      <c r="D5" s="11" t="s">
        <v>22</v>
      </c>
      <c r="E5" s="6"/>
      <c r="F5" s="6"/>
      <c r="G5" s="6"/>
      <c r="H5" s="6"/>
    </row>
    <row r="6" ht="12.75" customHeight="1">
      <c r="A6" s="13"/>
      <c r="B6" s="16" t="s">
        <v>24</v>
      </c>
      <c r="C6" s="16"/>
      <c r="D6" s="16" t="s">
        <v>18</v>
      </c>
      <c r="E6" s="6"/>
      <c r="F6" s="6"/>
      <c r="G6" s="6"/>
      <c r="H6" s="6"/>
    </row>
    <row r="7" ht="12.75" customHeight="1">
      <c r="A7" s="20" t="s">
        <v>28</v>
      </c>
      <c r="B7" s="19">
        <v>0.0</v>
      </c>
      <c r="C7" s="19">
        <v>1.0</v>
      </c>
      <c r="D7" s="19">
        <f t="shared" ref="D7:D9" si="1">B7*C7</f>
        <v>0</v>
      </c>
      <c r="E7" s="6"/>
      <c r="F7" s="6"/>
      <c r="G7" s="6"/>
      <c r="H7" s="6"/>
    </row>
    <row r="8" ht="12.75" customHeight="1">
      <c r="A8" s="20" t="s">
        <v>34</v>
      </c>
      <c r="B8" s="19">
        <v>0.0</v>
      </c>
      <c r="C8" s="19">
        <v>1.0</v>
      </c>
      <c r="D8" s="19">
        <f t="shared" si="1"/>
        <v>0</v>
      </c>
      <c r="E8" s="6"/>
      <c r="F8" s="6"/>
      <c r="G8" s="6"/>
      <c r="H8" s="6"/>
    </row>
    <row r="9" ht="12.75" customHeight="1">
      <c r="A9" s="20" t="s">
        <v>35</v>
      </c>
      <c r="B9" s="19">
        <v>0.0</v>
      </c>
      <c r="C9" s="19">
        <v>1.0</v>
      </c>
      <c r="D9" s="19">
        <f t="shared" si="1"/>
        <v>0</v>
      </c>
      <c r="E9" s="6"/>
      <c r="F9" s="6"/>
      <c r="G9" s="6"/>
      <c r="H9" s="6"/>
    </row>
    <row r="10" ht="12.75" customHeight="1">
      <c r="A10" s="14" t="s">
        <v>36</v>
      </c>
      <c r="B10" s="25"/>
      <c r="C10" s="17"/>
      <c r="D10" s="29">
        <f>SUM(D7:D9)</f>
        <v>0</v>
      </c>
      <c r="E10" s="6"/>
      <c r="F10" s="6"/>
      <c r="G10" s="6"/>
      <c r="H10" s="6"/>
    </row>
    <row r="11" ht="12.75" customHeight="1">
      <c r="A11" s="15"/>
      <c r="B11" s="15"/>
      <c r="C11" s="15"/>
      <c r="D11" s="1"/>
      <c r="E11" s="6"/>
      <c r="F11" s="6"/>
      <c r="G11" s="6"/>
      <c r="H11" s="6"/>
    </row>
    <row r="12" ht="12.75" customHeight="1">
      <c r="A12" s="1"/>
      <c r="B12" s="15"/>
      <c r="C12" s="15"/>
      <c r="D12" s="1"/>
      <c r="E12" s="6"/>
      <c r="F12" s="6"/>
      <c r="G12" s="6"/>
      <c r="H12" s="6"/>
    </row>
    <row r="13" ht="12.75" customHeight="1">
      <c r="A13" s="1" t="s">
        <v>42</v>
      </c>
      <c r="B13" s="15"/>
      <c r="C13" s="15"/>
      <c r="D13" s="1"/>
      <c r="E13" s="6"/>
      <c r="F13" s="6"/>
      <c r="G13" s="6"/>
      <c r="H13" s="6"/>
    </row>
    <row r="14" ht="12.75" customHeight="1">
      <c r="A14" s="6"/>
      <c r="B14" s="6"/>
      <c r="C14" s="6"/>
      <c r="D14" s="6"/>
      <c r="E14" s="6"/>
      <c r="F14" s="6"/>
      <c r="G14" s="6"/>
      <c r="H14" s="6"/>
    </row>
    <row r="15" ht="12.75" customHeight="1">
      <c r="A15" s="8" t="s">
        <v>10</v>
      </c>
      <c r="B15" s="8" t="s">
        <v>12</v>
      </c>
      <c r="C15" s="8" t="s">
        <v>10</v>
      </c>
      <c r="D15" s="8" t="s">
        <v>12</v>
      </c>
      <c r="E15" s="6"/>
      <c r="F15" s="6"/>
      <c r="G15" s="6"/>
      <c r="H15" s="6"/>
    </row>
    <row r="16" ht="12.75" customHeight="1">
      <c r="A16" s="11" t="s">
        <v>19</v>
      </c>
      <c r="B16" s="11" t="s">
        <v>20</v>
      </c>
      <c r="C16" s="11" t="s">
        <v>21</v>
      </c>
      <c r="D16" s="11" t="s">
        <v>22</v>
      </c>
      <c r="E16" s="6"/>
      <c r="F16" s="6"/>
      <c r="G16" s="6"/>
      <c r="H16" s="6"/>
    </row>
    <row r="17" ht="12.75" customHeight="1">
      <c r="A17" s="13"/>
      <c r="B17" s="16" t="s">
        <v>24</v>
      </c>
      <c r="C17" s="16"/>
      <c r="D17" s="16" t="s">
        <v>18</v>
      </c>
      <c r="E17" s="6"/>
      <c r="F17" s="6"/>
      <c r="G17" s="6"/>
      <c r="H17" s="6"/>
    </row>
    <row r="18" ht="12.75" customHeight="1">
      <c r="A18" s="20" t="s">
        <v>43</v>
      </c>
      <c r="B18" s="20">
        <f>REMUNERACIONES!H10*10%</f>
        <v>169.6</v>
      </c>
      <c r="C18" s="19">
        <v>1.0</v>
      </c>
      <c r="D18" s="19">
        <f t="shared" ref="D18:D21" si="2">B18*C18</f>
        <v>169.6</v>
      </c>
      <c r="E18" s="6"/>
      <c r="F18" s="6"/>
      <c r="G18" s="6"/>
      <c r="H18" s="6"/>
    </row>
    <row r="19" ht="12.75" customHeight="1">
      <c r="A19" s="20" t="s">
        <v>56</v>
      </c>
      <c r="B19" s="20">
        <v>0.0</v>
      </c>
      <c r="C19" s="19">
        <v>1.0</v>
      </c>
      <c r="D19" s="19">
        <f t="shared" si="2"/>
        <v>0</v>
      </c>
      <c r="E19" s="6"/>
      <c r="F19" s="6"/>
      <c r="G19" s="6"/>
      <c r="H19" s="6"/>
    </row>
    <row r="20" ht="12.75" customHeight="1">
      <c r="A20" s="20" t="s">
        <v>60</v>
      </c>
      <c r="B20" s="20">
        <v>0.0</v>
      </c>
      <c r="C20" s="19">
        <v>1.0</v>
      </c>
      <c r="D20" s="19">
        <f t="shared" si="2"/>
        <v>0</v>
      </c>
      <c r="E20" s="6"/>
      <c r="F20" s="6"/>
      <c r="G20" s="6"/>
      <c r="H20" s="6"/>
    </row>
    <row r="21" ht="12.75" customHeight="1">
      <c r="A21" s="20" t="s">
        <v>62</v>
      </c>
      <c r="B21" s="20">
        <v>0.0</v>
      </c>
      <c r="C21" s="19">
        <v>1.0</v>
      </c>
      <c r="D21" s="19">
        <f t="shared" si="2"/>
        <v>0</v>
      </c>
      <c r="E21" s="6"/>
      <c r="F21" s="6"/>
      <c r="G21" s="6"/>
      <c r="H21" s="6"/>
    </row>
    <row r="22" ht="12.75" customHeight="1">
      <c r="A22" s="14" t="s">
        <v>36</v>
      </c>
      <c r="B22" s="25"/>
      <c r="C22" s="17"/>
      <c r="D22" s="29">
        <f>SUM(D18:D21)</f>
        <v>169.6</v>
      </c>
      <c r="E22" s="6"/>
      <c r="F22" s="6"/>
      <c r="G22" s="6"/>
      <c r="H22" s="6"/>
    </row>
    <row r="23" ht="12.75" customHeight="1">
      <c r="A23" s="15"/>
      <c r="B23" s="15"/>
      <c r="C23" s="15"/>
      <c r="D23" s="1"/>
      <c r="E23" s="6"/>
      <c r="F23" s="6"/>
      <c r="G23" s="6"/>
      <c r="H23" s="6"/>
    </row>
    <row r="24" ht="12.75" customHeight="1">
      <c r="A24" s="15"/>
      <c r="B24" s="15"/>
      <c r="C24" s="15"/>
      <c r="D24" s="1"/>
      <c r="E24" s="6"/>
      <c r="F24" s="6"/>
      <c r="G24" s="6"/>
      <c r="H24" s="6"/>
    </row>
    <row r="25" ht="12.75" customHeight="1">
      <c r="A25" s="15"/>
      <c r="B25" s="15"/>
      <c r="C25" s="15"/>
      <c r="D25" s="1"/>
      <c r="E25" s="6"/>
      <c r="F25" s="6"/>
      <c r="G25" s="6"/>
      <c r="H25" s="6"/>
    </row>
    <row r="26" ht="12.75" customHeight="1">
      <c r="A26" s="1"/>
      <c r="B26" s="15"/>
      <c r="C26" s="15"/>
      <c r="D26" s="1"/>
      <c r="E26" s="6"/>
      <c r="F26" s="6"/>
      <c r="G26" s="6"/>
      <c r="H26" s="6"/>
    </row>
    <row r="27" ht="12.75" customHeight="1">
      <c r="A27" s="1"/>
      <c r="B27" s="15"/>
      <c r="C27" s="15"/>
      <c r="D27" s="1"/>
      <c r="E27" s="6"/>
      <c r="F27" s="6"/>
      <c r="G27" s="6"/>
      <c r="H27" s="6"/>
    </row>
    <row r="28" ht="12.75" customHeight="1">
      <c r="A28" s="1" t="s">
        <v>72</v>
      </c>
      <c r="B28" s="15"/>
      <c r="C28" s="15"/>
      <c r="D28" s="1"/>
      <c r="E28" s="6"/>
      <c r="F28" s="6"/>
      <c r="G28" s="6"/>
      <c r="H28" s="6"/>
    </row>
    <row r="29" ht="12.75" customHeight="1">
      <c r="A29" s="1"/>
      <c r="B29" s="15"/>
      <c r="C29" s="15"/>
      <c r="D29" s="1"/>
      <c r="E29" s="6"/>
      <c r="F29" s="6"/>
      <c r="G29" s="6"/>
      <c r="H29" s="6"/>
    </row>
    <row r="30" ht="12.75" customHeight="1">
      <c r="A30" s="8" t="s">
        <v>10</v>
      </c>
      <c r="B30" s="8" t="s">
        <v>12</v>
      </c>
      <c r="C30" s="8" t="s">
        <v>10</v>
      </c>
      <c r="D30" s="8" t="s">
        <v>12</v>
      </c>
      <c r="E30" s="6"/>
      <c r="F30" s="6"/>
      <c r="G30" s="6"/>
      <c r="H30" s="6"/>
    </row>
    <row r="31" ht="12.75" customHeight="1">
      <c r="A31" s="11" t="s">
        <v>19</v>
      </c>
      <c r="B31" s="11" t="s">
        <v>20</v>
      </c>
      <c r="C31" s="11" t="s">
        <v>21</v>
      </c>
      <c r="D31" s="11" t="s">
        <v>22</v>
      </c>
      <c r="E31" s="6"/>
      <c r="F31" s="6"/>
      <c r="G31" s="6"/>
      <c r="H31" s="6"/>
    </row>
    <row r="32" ht="12.75" customHeight="1">
      <c r="A32" s="13"/>
      <c r="B32" s="16" t="s">
        <v>24</v>
      </c>
      <c r="C32" s="16"/>
      <c r="D32" s="16" t="s">
        <v>18</v>
      </c>
      <c r="E32" s="6"/>
      <c r="F32" s="6"/>
      <c r="G32" s="6"/>
      <c r="H32" s="6"/>
    </row>
    <row r="33" ht="12.75" customHeight="1">
      <c r="A33" s="20" t="s">
        <v>75</v>
      </c>
      <c r="B33" s="48">
        <v>0.0</v>
      </c>
      <c r="C33" s="19">
        <v>1.0</v>
      </c>
      <c r="D33" s="22">
        <f t="shared" ref="D33:D36" si="3">B33*C33</f>
        <v>0</v>
      </c>
      <c r="E33" s="6"/>
      <c r="F33" s="6"/>
      <c r="G33" s="6"/>
      <c r="H33" s="6"/>
    </row>
    <row r="34" ht="12.75" customHeight="1">
      <c r="A34" s="20" t="s">
        <v>76</v>
      </c>
      <c r="B34" s="48">
        <v>0.0</v>
      </c>
      <c r="C34" s="19">
        <v>1.0</v>
      </c>
      <c r="D34" s="22">
        <f t="shared" si="3"/>
        <v>0</v>
      </c>
      <c r="E34" s="6"/>
      <c r="F34" s="6"/>
      <c r="G34" s="6"/>
      <c r="H34" s="6"/>
    </row>
    <row r="35" ht="12.75" customHeight="1">
      <c r="A35" s="20" t="s">
        <v>77</v>
      </c>
      <c r="B35" s="48">
        <v>0.0</v>
      </c>
      <c r="C35" s="19">
        <v>1.0</v>
      </c>
      <c r="D35" s="22">
        <f t="shared" si="3"/>
        <v>0</v>
      </c>
      <c r="E35" s="6"/>
      <c r="F35" s="6"/>
      <c r="G35" s="6"/>
      <c r="H35" s="6"/>
    </row>
    <row r="36" ht="12.75" customHeight="1">
      <c r="A36" s="20" t="s">
        <v>78</v>
      </c>
      <c r="B36" s="48">
        <v>0.0</v>
      </c>
      <c r="C36" s="19">
        <v>1.0</v>
      </c>
      <c r="D36" s="22">
        <f t="shared" si="3"/>
        <v>0</v>
      </c>
      <c r="E36" s="6"/>
      <c r="F36" s="6"/>
      <c r="G36" s="6"/>
      <c r="H36" s="6"/>
    </row>
    <row r="37" ht="12.75" customHeight="1">
      <c r="A37" s="14" t="s">
        <v>36</v>
      </c>
      <c r="B37" s="25"/>
      <c r="C37" s="17"/>
      <c r="D37" s="26">
        <f>SUM(D33:D36)</f>
        <v>0</v>
      </c>
      <c r="E37" s="6"/>
      <c r="F37" s="6"/>
      <c r="G37" s="6"/>
      <c r="H37" s="6"/>
    </row>
    <row r="38" ht="12.75" customHeight="1">
      <c r="A38" s="15"/>
      <c r="B38" s="15"/>
      <c r="C38" s="15"/>
      <c r="D38" s="1"/>
      <c r="E38" s="6"/>
      <c r="F38" s="6"/>
      <c r="G38" s="6"/>
      <c r="H38" s="6"/>
    </row>
    <row r="39" ht="12.75" customHeight="1">
      <c r="A39" s="15"/>
      <c r="B39" s="15"/>
      <c r="C39" s="15"/>
      <c r="D39" s="1"/>
      <c r="E39" s="6"/>
      <c r="F39" s="6"/>
      <c r="G39" s="6"/>
      <c r="H39" s="6"/>
    </row>
    <row r="40" ht="12.75" customHeight="1">
      <c r="A40" s="15"/>
      <c r="B40" s="15"/>
      <c r="C40" s="15"/>
      <c r="D40" s="1"/>
      <c r="E40" s="6"/>
      <c r="F40" s="6"/>
      <c r="G40" s="6"/>
      <c r="H40" s="6"/>
    </row>
    <row r="41" ht="12.75" customHeight="1">
      <c r="A41" s="15"/>
      <c r="B41" s="15"/>
      <c r="C41" s="15"/>
      <c r="D41" s="1"/>
      <c r="E41" s="6"/>
      <c r="F41" s="6"/>
      <c r="G41" s="6"/>
      <c r="H41" s="6"/>
    </row>
    <row r="42" ht="12.75" customHeight="1">
      <c r="A42" s="15"/>
      <c r="B42" s="15"/>
      <c r="C42" s="15"/>
      <c r="D42" s="1"/>
      <c r="E42" s="6"/>
      <c r="F42" s="6"/>
      <c r="G42" s="6"/>
      <c r="H42" s="6"/>
    </row>
    <row r="43" ht="12.75" customHeight="1">
      <c r="A43" s="15"/>
      <c r="B43" s="15"/>
      <c r="C43" s="15"/>
      <c r="D43" s="1"/>
      <c r="E43" s="6"/>
      <c r="F43" s="6"/>
      <c r="G43" s="6"/>
      <c r="H43" s="6"/>
    </row>
    <row r="44" ht="12.75" customHeight="1">
      <c r="A44" s="1"/>
      <c r="B44" s="15"/>
      <c r="C44" s="15"/>
      <c r="D44" s="1"/>
      <c r="E44" s="6"/>
      <c r="F44" s="6"/>
      <c r="G44" s="6"/>
      <c r="H44" s="6"/>
    </row>
    <row r="45" ht="12.75" customHeight="1">
      <c r="A45" s="1" t="s">
        <v>79</v>
      </c>
      <c r="B45" s="6"/>
      <c r="C45" s="6"/>
      <c r="D45" s="6"/>
      <c r="E45" s="6"/>
      <c r="F45" s="6"/>
      <c r="G45" s="6"/>
      <c r="H45" s="6"/>
    </row>
    <row r="46" ht="12.75" customHeight="1">
      <c r="A46" s="49" t="s">
        <v>10</v>
      </c>
    </row>
    <row r="47" ht="12.75" customHeight="1">
      <c r="A47" s="50" t="s">
        <v>10</v>
      </c>
      <c r="B47" s="50" t="s">
        <v>12</v>
      </c>
      <c r="C47" s="50" t="s">
        <v>10</v>
      </c>
      <c r="D47" s="50" t="s">
        <v>12</v>
      </c>
    </row>
    <row r="48" ht="12.75" customHeight="1">
      <c r="A48" s="51" t="s">
        <v>19</v>
      </c>
      <c r="B48" s="51" t="s">
        <v>20</v>
      </c>
      <c r="C48" s="51" t="s">
        <v>21</v>
      </c>
      <c r="D48" s="51" t="s">
        <v>22</v>
      </c>
    </row>
    <row r="49" ht="12.75" customHeight="1">
      <c r="A49" s="52"/>
      <c r="B49" s="53" t="s">
        <v>24</v>
      </c>
      <c r="C49" s="53"/>
      <c r="D49" s="53" t="s">
        <v>18</v>
      </c>
    </row>
    <row r="50" ht="12.75" customHeight="1">
      <c r="A50" s="54" t="s">
        <v>82</v>
      </c>
      <c r="B50" s="54">
        <v>200.0</v>
      </c>
      <c r="C50" s="54">
        <v>1.0</v>
      </c>
      <c r="D50" s="54">
        <f t="shared" ref="D50:D51" si="4">+B50*C50</f>
        <v>200</v>
      </c>
    </row>
    <row r="51" ht="12.75" customHeight="1">
      <c r="A51" s="49" t="s">
        <v>86</v>
      </c>
      <c r="B51" s="54">
        <v>242.5</v>
      </c>
      <c r="C51" s="54">
        <v>1.0</v>
      </c>
      <c r="D51" s="54">
        <f t="shared" si="4"/>
        <v>242.5</v>
      </c>
    </row>
    <row r="52" ht="12.75" customHeight="1">
      <c r="A52" s="56" t="s">
        <v>36</v>
      </c>
      <c r="B52" s="57"/>
      <c r="C52" s="58"/>
      <c r="D52" s="59">
        <f>SUM(D50:D51)</f>
        <v>442.5</v>
      </c>
    </row>
    <row r="53" ht="12.75" customHeight="1"/>
    <row r="54" ht="12.75" customHeight="1"/>
    <row r="55" ht="12.75" customHeight="1"/>
    <row r="56" ht="12.75" customHeight="1"/>
    <row r="57" ht="12.75" customHeight="1">
      <c r="A57" s="60"/>
    </row>
    <row r="58" ht="12.75" customHeight="1">
      <c r="A58" s="60"/>
    </row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44.75"/>
    <col customWidth="1" min="2" max="2" width="12.25"/>
    <col customWidth="1" min="3" max="22" width="11.38"/>
  </cols>
  <sheetData>
    <row r="1" ht="12.75" customHeight="1">
      <c r="A1" s="61" t="s">
        <v>93</v>
      </c>
      <c r="B1" s="6"/>
      <c r="C1" s="6"/>
      <c r="D1" s="6"/>
      <c r="E1" s="6"/>
      <c r="F1" s="6"/>
      <c r="G1" s="6"/>
      <c r="H1" s="6"/>
    </row>
    <row r="2" ht="12.75" customHeight="1">
      <c r="A2" s="6"/>
      <c r="B2" s="6"/>
      <c r="C2" s="6"/>
      <c r="D2" s="6"/>
      <c r="E2" s="6"/>
      <c r="F2" s="6"/>
      <c r="G2" s="6"/>
      <c r="H2" s="6"/>
    </row>
    <row r="3" ht="12.75" customHeight="1">
      <c r="A3" s="6"/>
      <c r="B3" s="6"/>
      <c r="C3" s="6"/>
      <c r="D3" s="6"/>
      <c r="E3" s="6"/>
      <c r="F3" s="6"/>
      <c r="G3" s="6"/>
      <c r="H3" s="6"/>
    </row>
    <row r="4" ht="12.75" customHeight="1">
      <c r="A4" s="24"/>
      <c r="B4" s="8" t="s">
        <v>12</v>
      </c>
      <c r="C4" s="6"/>
      <c r="D4" s="6"/>
      <c r="E4" s="6"/>
      <c r="F4" s="6"/>
      <c r="G4" s="6"/>
      <c r="H4" s="6"/>
    </row>
    <row r="5" ht="12.75" customHeight="1">
      <c r="A5" s="62" t="s">
        <v>94</v>
      </c>
      <c r="B5" s="11" t="s">
        <v>22</v>
      </c>
      <c r="C5" s="6"/>
      <c r="D5" s="6"/>
      <c r="E5" s="6"/>
      <c r="F5" s="6"/>
      <c r="G5" s="6"/>
      <c r="H5" s="6"/>
    </row>
    <row r="6" ht="12.75" customHeight="1">
      <c r="A6" s="13"/>
      <c r="B6" s="63" t="s">
        <v>18</v>
      </c>
      <c r="C6" s="6"/>
      <c r="D6" s="6"/>
      <c r="E6" s="6"/>
      <c r="F6" s="6"/>
      <c r="G6" s="6"/>
      <c r="H6" s="6"/>
    </row>
    <row r="7" ht="12.75" customHeight="1">
      <c r="A7" s="19" t="s">
        <v>95</v>
      </c>
      <c r="B7" s="64">
        <f>REMUNERACIONES!H10</f>
        <v>1696</v>
      </c>
      <c r="C7" s="35"/>
      <c r="D7" s="35"/>
      <c r="E7" s="35"/>
      <c r="F7" s="6"/>
      <c r="G7" s="6"/>
      <c r="H7" s="6"/>
    </row>
    <row r="8" ht="12.75" customHeight="1">
      <c r="A8" s="19" t="s">
        <v>25</v>
      </c>
      <c r="B8" s="64">
        <f>'EQUIPOS E INFRAESTRUCTURA'!F13</f>
        <v>0</v>
      </c>
      <c r="C8" s="35"/>
      <c r="D8" s="35"/>
      <c r="E8" s="35"/>
      <c r="F8" s="6"/>
      <c r="G8" s="6"/>
      <c r="H8" s="6"/>
    </row>
    <row r="9" ht="12.75" customHeight="1">
      <c r="A9" s="19" t="s">
        <v>80</v>
      </c>
      <c r="B9" s="64">
        <f>'EQUIPOS E INFRAESTRUCTURA'!F27</f>
        <v>0</v>
      </c>
      <c r="C9" s="35"/>
      <c r="D9" s="35"/>
      <c r="E9" s="35"/>
      <c r="F9" s="6"/>
      <c r="G9" s="6"/>
      <c r="H9" s="6"/>
    </row>
    <row r="10" ht="12.75" customHeight="1">
      <c r="A10" s="19" t="s">
        <v>1</v>
      </c>
      <c r="B10" s="64">
        <f>'SOFTWARE Y FUNGIBLES'!D12</f>
        <v>0</v>
      </c>
      <c r="C10" s="35"/>
      <c r="D10" s="35"/>
      <c r="E10" s="35"/>
      <c r="F10" s="6"/>
      <c r="G10" s="6"/>
      <c r="H10" s="6"/>
    </row>
    <row r="11" ht="12.75" customHeight="1">
      <c r="A11" s="19" t="s">
        <v>13</v>
      </c>
      <c r="B11" s="64">
        <f>OTROS!D10</f>
        <v>0</v>
      </c>
      <c r="C11" s="35"/>
      <c r="D11" s="35"/>
      <c r="E11" s="35"/>
      <c r="F11" s="6"/>
      <c r="G11" s="6"/>
      <c r="H11" s="6"/>
    </row>
    <row r="12" ht="12.75" customHeight="1">
      <c r="A12" s="19" t="s">
        <v>72</v>
      </c>
      <c r="B12" s="64">
        <f>OTROS!D37</f>
        <v>0</v>
      </c>
      <c r="C12" s="35"/>
      <c r="D12" s="35"/>
      <c r="E12" s="35"/>
      <c r="F12" s="6"/>
      <c r="G12" s="6"/>
      <c r="H12" s="6"/>
    </row>
    <row r="13" ht="12.75" customHeight="1">
      <c r="A13" s="19" t="s">
        <v>42</v>
      </c>
      <c r="B13" s="64">
        <f>OTROS!D22</f>
        <v>169.6</v>
      </c>
      <c r="C13" s="35"/>
      <c r="D13" s="35"/>
      <c r="E13" s="35"/>
      <c r="F13" s="6"/>
      <c r="G13" s="6"/>
      <c r="H13" s="6"/>
    </row>
    <row r="14" ht="12.75" customHeight="1">
      <c r="A14" s="29" t="s">
        <v>22</v>
      </c>
      <c r="B14" s="65">
        <f>SUM(B7:B13)</f>
        <v>1865.6</v>
      </c>
      <c r="C14" s="2"/>
      <c r="D14" s="2"/>
      <c r="E14" s="2"/>
      <c r="F14" s="1"/>
      <c r="G14" s="1"/>
      <c r="H14" s="1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</row>
    <row r="15" ht="12.75" customHeight="1">
      <c r="A15" s="15"/>
      <c r="B15" s="66"/>
      <c r="C15" s="6"/>
      <c r="D15" s="6"/>
      <c r="E15" s="6"/>
      <c r="F15" s="6"/>
      <c r="G15" s="6"/>
      <c r="H15" s="6"/>
    </row>
    <row r="16" ht="12.75" customHeight="1">
      <c r="A16" s="1" t="s">
        <v>96</v>
      </c>
      <c r="B16" s="66" t="s">
        <v>97</v>
      </c>
      <c r="C16" s="6"/>
      <c r="D16" s="6"/>
      <c r="E16" s="6"/>
      <c r="F16" s="6"/>
      <c r="G16" s="6"/>
      <c r="H16" s="6"/>
    </row>
    <row r="17" ht="12.75" customHeight="1">
      <c r="A17" s="1" t="s">
        <v>98</v>
      </c>
      <c r="B17" s="67">
        <v>212.0</v>
      </c>
      <c r="C17" s="6"/>
      <c r="D17" s="6"/>
      <c r="E17" s="6"/>
      <c r="F17" s="6"/>
      <c r="G17" s="6"/>
      <c r="H17" s="6"/>
    </row>
    <row r="18" ht="12.75" customHeight="1">
      <c r="A18" s="1" t="s">
        <v>99</v>
      </c>
      <c r="B18" s="68" t="s">
        <v>100</v>
      </c>
      <c r="C18" s="6"/>
      <c r="D18" s="6"/>
      <c r="E18" s="6"/>
      <c r="F18" s="6"/>
      <c r="G18" s="6"/>
      <c r="H18" s="6"/>
    </row>
    <row r="19" ht="12.75" customHeight="1">
      <c r="A19" s="1"/>
      <c r="B19" s="69"/>
      <c r="C19" s="6"/>
      <c r="D19" s="6"/>
      <c r="E19" s="6"/>
      <c r="F19" s="6"/>
      <c r="G19" s="6"/>
      <c r="H19" s="6"/>
    </row>
    <row r="20" ht="12.75" customHeight="1">
      <c r="A20" s="1"/>
      <c r="B20" s="69"/>
      <c r="C20" s="6"/>
      <c r="D20" s="6"/>
      <c r="E20" s="6"/>
      <c r="F20" s="6"/>
      <c r="G20" s="6"/>
      <c r="H20" s="6"/>
    </row>
    <row r="21" ht="12.75" customHeight="1">
      <c r="A21" s="1"/>
      <c r="B21" s="69"/>
      <c r="C21" s="6"/>
      <c r="D21" s="6"/>
      <c r="E21" s="6"/>
      <c r="F21" s="6"/>
      <c r="G21" s="6"/>
      <c r="H21" s="6"/>
    </row>
    <row r="22" ht="12.75" customHeight="1">
      <c r="A22" s="1"/>
      <c r="B22" s="69"/>
      <c r="C22" s="6"/>
      <c r="D22" s="6"/>
      <c r="E22" s="6"/>
      <c r="F22" s="6"/>
      <c r="G22" s="6"/>
      <c r="H22" s="6"/>
    </row>
    <row r="23" ht="12.75" customHeight="1">
      <c r="A23" s="1"/>
      <c r="B23" s="69"/>
      <c r="C23" s="6"/>
      <c r="D23" s="6"/>
      <c r="E23" s="6"/>
      <c r="F23" s="6"/>
      <c r="G23" s="6"/>
      <c r="H23" s="6"/>
    </row>
    <row r="24" ht="12.75" customHeight="1">
      <c r="A24" s="6"/>
      <c r="B24" s="6"/>
      <c r="C24" s="6"/>
      <c r="D24" s="6"/>
      <c r="E24" s="6"/>
      <c r="F24" s="6"/>
      <c r="G24" s="6"/>
      <c r="H24" s="6"/>
    </row>
    <row r="25" ht="12.75" customHeight="1">
      <c r="A25" s="1"/>
      <c r="B25" s="69"/>
      <c r="C25" s="6"/>
      <c r="D25" s="6"/>
      <c r="E25" s="6"/>
      <c r="F25" s="6"/>
      <c r="G25" s="6"/>
      <c r="H25" s="6"/>
    </row>
    <row r="26" ht="12.75" customHeight="1">
      <c r="A26" s="1"/>
      <c r="B26" s="69"/>
      <c r="C26" s="6"/>
      <c r="D26" s="6"/>
      <c r="E26" s="6"/>
      <c r="F26" s="6"/>
      <c r="G26" s="6"/>
      <c r="H26" s="6"/>
    </row>
    <row r="27" ht="12.75" customHeight="1">
      <c r="A27" s="1"/>
      <c r="B27" s="69"/>
      <c r="C27" s="6"/>
      <c r="D27" s="6"/>
      <c r="E27" s="6"/>
      <c r="F27" s="6"/>
      <c r="G27" s="6"/>
      <c r="H27" s="6"/>
    </row>
    <row r="28" ht="12.75" customHeight="1">
      <c r="A28" s="44"/>
      <c r="B28" s="6"/>
      <c r="C28" s="6"/>
      <c r="D28" s="6"/>
      <c r="E28" s="6"/>
      <c r="F28" s="6"/>
      <c r="G28" s="6"/>
      <c r="H28" s="6"/>
    </row>
    <row r="29" ht="12.75" customHeight="1">
      <c r="A29" s="6"/>
      <c r="B29" s="6"/>
      <c r="C29" s="6"/>
      <c r="D29" s="6"/>
      <c r="E29" s="6"/>
      <c r="F29" s="6"/>
      <c r="G29" s="6"/>
      <c r="H29" s="6"/>
    </row>
    <row r="30" ht="12.75" customHeight="1">
      <c r="A30" s="6"/>
      <c r="B30" s="6"/>
      <c r="C30" s="6"/>
      <c r="D30" s="6"/>
      <c r="E30" s="6"/>
      <c r="F30" s="6"/>
      <c r="G30" s="6"/>
      <c r="H30" s="6"/>
    </row>
    <row r="31" ht="12.75" customHeight="1">
      <c r="A31" s="6"/>
      <c r="B31" s="6"/>
      <c r="C31" s="6"/>
      <c r="D31" s="6"/>
      <c r="E31" s="6"/>
      <c r="F31" s="6"/>
      <c r="G31" s="6"/>
      <c r="H31" s="6"/>
    </row>
    <row r="32" ht="12.75" customHeight="1">
      <c r="A32" s="6"/>
      <c r="B32" s="6"/>
      <c r="C32" s="6"/>
      <c r="D32" s="6"/>
      <c r="E32" s="6"/>
      <c r="F32" s="6"/>
      <c r="G32" s="6"/>
      <c r="H32" s="6"/>
    </row>
    <row r="33" ht="12.75" customHeight="1">
      <c r="A33" s="6"/>
      <c r="B33" s="6"/>
      <c r="C33" s="6"/>
      <c r="D33" s="6"/>
      <c r="E33" s="6"/>
      <c r="F33" s="6"/>
      <c r="G33" s="6"/>
      <c r="H33" s="6"/>
    </row>
    <row r="34" ht="12.75" customHeight="1">
      <c r="A34" s="6"/>
      <c r="B34" s="6"/>
      <c r="C34" s="6"/>
      <c r="D34" s="6"/>
      <c r="E34" s="6"/>
      <c r="F34" s="6"/>
      <c r="G34" s="6"/>
      <c r="H34" s="6"/>
    </row>
    <row r="35" ht="12.75" customHeight="1">
      <c r="A35" s="6"/>
      <c r="B35" s="6"/>
      <c r="C35" s="6"/>
      <c r="D35" s="6"/>
      <c r="E35" s="6"/>
      <c r="F35" s="6"/>
      <c r="G35" s="6"/>
      <c r="H35" s="6"/>
    </row>
    <row r="36" ht="12.75" customHeight="1">
      <c r="A36" s="6"/>
      <c r="B36" s="6"/>
      <c r="C36" s="6"/>
      <c r="D36" s="6"/>
      <c r="E36" s="6"/>
      <c r="F36" s="6"/>
      <c r="G36" s="6"/>
      <c r="H36" s="6"/>
    </row>
    <row r="37" ht="12.75" customHeight="1">
      <c r="A37" s="6"/>
      <c r="B37" s="6"/>
      <c r="C37" s="6"/>
      <c r="D37" s="6"/>
      <c r="E37" s="6"/>
      <c r="F37" s="6"/>
      <c r="G37" s="6"/>
      <c r="H37" s="6"/>
    </row>
    <row r="38" ht="12.75" customHeight="1">
      <c r="A38" s="6"/>
      <c r="B38" s="6"/>
      <c r="C38" s="6"/>
      <c r="D38" s="6"/>
      <c r="E38" s="6"/>
      <c r="F38" s="6"/>
      <c r="G38" s="6"/>
      <c r="H38" s="6"/>
    </row>
    <row r="39" ht="12.75" customHeight="1">
      <c r="A39" s="6"/>
      <c r="B39" s="6"/>
      <c r="C39" s="6"/>
      <c r="D39" s="6"/>
      <c r="E39" s="6"/>
      <c r="F39" s="6"/>
      <c r="G39" s="6"/>
      <c r="H39" s="6"/>
    </row>
    <row r="40" ht="12.75" customHeight="1">
      <c r="A40" s="6"/>
      <c r="B40" s="6"/>
      <c r="C40" s="6"/>
      <c r="D40" s="6"/>
      <c r="E40" s="6"/>
      <c r="F40" s="6"/>
      <c r="G40" s="6"/>
      <c r="H40" s="6"/>
    </row>
    <row r="41" ht="12.75" customHeight="1">
      <c r="A41" s="6"/>
      <c r="B41" s="6"/>
      <c r="C41" s="6"/>
      <c r="D41" s="6"/>
      <c r="E41" s="6"/>
      <c r="F41" s="6"/>
      <c r="G41" s="6"/>
      <c r="H41" s="6"/>
    </row>
    <row r="42" ht="12.75" customHeight="1">
      <c r="A42" s="6"/>
      <c r="B42" s="6"/>
      <c r="C42" s="6"/>
      <c r="D42" s="6"/>
      <c r="E42" s="6"/>
      <c r="F42" s="6"/>
      <c r="G42" s="6"/>
      <c r="H42" s="6"/>
    </row>
    <row r="43" ht="12.75" customHeight="1">
      <c r="A43" s="6"/>
      <c r="B43" s="6"/>
      <c r="C43" s="6"/>
      <c r="D43" s="6"/>
      <c r="E43" s="6"/>
      <c r="F43" s="6"/>
      <c r="G43" s="6"/>
      <c r="H43" s="6"/>
    </row>
    <row r="44" ht="12.75" customHeight="1">
      <c r="A44" s="6"/>
      <c r="B44" s="6"/>
      <c r="C44" s="6"/>
      <c r="D44" s="6"/>
      <c r="E44" s="6"/>
      <c r="F44" s="6"/>
      <c r="G44" s="6"/>
      <c r="H44" s="6"/>
    </row>
    <row r="45" ht="12.75" customHeight="1">
      <c r="A45" s="6"/>
      <c r="B45" s="6"/>
      <c r="C45" s="6"/>
      <c r="D45" s="6"/>
      <c r="E45" s="6"/>
      <c r="F45" s="6"/>
      <c r="G45" s="6"/>
      <c r="H45" s="6"/>
    </row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