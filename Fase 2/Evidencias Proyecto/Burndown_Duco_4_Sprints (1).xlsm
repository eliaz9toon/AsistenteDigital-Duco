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print 1" sheetId="1" r:id="rId4"/>
    <sheet state="visible" name="Sprint 2" sheetId="2" r:id="rId5"/>
    <sheet state="visible" name="Sprint 3" sheetId="3" r:id="rId6"/>
    <sheet state="visible" name="Sprint 4" sheetId="4" r:id="rId7"/>
  </sheets>
  <definedNames/>
  <calcPr/>
  <extLst>
    <ext uri="GoogleSheetsCustomDataVersion2">
      <go:sheetsCustomData xmlns:go="http://customooxmlschemas.google.com/" r:id="rId8" roundtripDataChecksum="9VXNC8AZ7f5mWaZUSL1YWCobl1GAOo5lymPMw+AtmoA="/>
    </ext>
  </extLst>
</workbook>
</file>

<file path=xl/sharedStrings.xml><?xml version="1.0" encoding="utf-8"?>
<sst xmlns="http://schemas.openxmlformats.org/spreadsheetml/2006/main" count="72" uniqueCount="47">
  <si>
    <t>Control del Sprint 2 de 20 días — Duco Asiste</t>
  </si>
  <si>
    <t>Control del Sprint 3 de 20 días — Duco Asiste</t>
  </si>
  <si>
    <t>Control del Sprint 4 de 20 días — Duco Asiste</t>
  </si>
  <si>
    <t>Control del Sprint 1 de 20 días — Duco Asiste</t>
  </si>
  <si>
    <t>Horas reales simuladas para planificación académica</t>
  </si>
  <si>
    <t xml:space="preserve">Tareas </t>
  </si>
  <si>
    <t>horas estimadas</t>
  </si>
  <si>
    <t>DIA</t>
  </si>
  <si>
    <t>Total</t>
  </si>
  <si>
    <t>E3-H1-T01</t>
  </si>
  <si>
    <t>E2-H1-T01</t>
  </si>
  <si>
    <t>E2-H2-T01</t>
  </si>
  <si>
    <t>E2-H2-T02</t>
  </si>
  <si>
    <t>E2-H1-T02</t>
  </si>
  <si>
    <t>E3-H1-T02</t>
  </si>
  <si>
    <t>E4-H1-T01</t>
  </si>
  <si>
    <t>E3-H1-T03</t>
  </si>
  <si>
    <t>E2-H2-T03</t>
  </si>
  <si>
    <t>E2-H1-T03</t>
  </si>
  <si>
    <t>E4-H1-T02</t>
  </si>
  <si>
    <t>E2-H1-T04</t>
  </si>
  <si>
    <t>E3-H1-T04</t>
  </si>
  <si>
    <t>E2-H2-T04</t>
  </si>
  <si>
    <t>E1-H2-T01</t>
  </si>
  <si>
    <t>E3-H2-T01</t>
  </si>
  <si>
    <t>E4-H1-T03</t>
  </si>
  <si>
    <t>E4-H2-T01</t>
  </si>
  <si>
    <t>E1-H2-T02</t>
  </si>
  <si>
    <t>E3-H2-T02</t>
  </si>
  <si>
    <t>E4-H1-T04</t>
  </si>
  <si>
    <t>E4-H2-T02</t>
  </si>
  <si>
    <t>E1-H2-T03</t>
  </si>
  <si>
    <t>E3-H2-T03</t>
  </si>
  <si>
    <t>E1-H1-T01</t>
  </si>
  <si>
    <t>E4-H2-T03</t>
  </si>
  <si>
    <t>E1-H1-T02</t>
  </si>
  <si>
    <t>E3-H2-T04</t>
  </si>
  <si>
    <t>E4-H2-T04</t>
  </si>
  <si>
    <t>E1-H2-T04</t>
  </si>
  <si>
    <t>E1-H1-T03</t>
  </si>
  <si>
    <t>E3-H3-T01</t>
  </si>
  <si>
    <t>E1-H1-T04</t>
  </si>
  <si>
    <t>E3-H3-T02</t>
  </si>
  <si>
    <t>E3-H3-T03</t>
  </si>
  <si>
    <t>E3-H3-T04</t>
  </si>
  <si>
    <t>Horas Reales de producto por realizar</t>
  </si>
  <si>
    <t>Horas Estimadas de producto por realizar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</si>
</sst>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5">
    <font>
      <sz val="11.0"/>
      <color theme="1"/>
      <name val="Calibri"/>
      <scheme val="minor"/>
    </font>
    <font>
      <b/>
      <sz val="16.0"/>
      <color theme="1"/>
      <name val="Calibri"/>
    </font>
    <font>
      <sz val="11.0"/>
      <color theme="1"/>
      <name val="Calibri"/>
    </font>
    <font/>
    <font>
      <sz val="11.0"/>
      <color theme="0"/>
      <name val="Calibri"/>
    </font>
  </fonts>
  <fills count="4">
    <fill>
      <patternFill patternType="none"/>
    </fill>
    <fill>
      <patternFill patternType="lightGray"/>
    </fill>
    <fill>
      <patternFill patternType="solid">
        <fgColor rgb="FFDEEAF6"/>
        <bgColor rgb="FFDEEAF6"/>
      </patternFill>
    </fill>
    <fill>
      <patternFill patternType="solid">
        <fgColor rgb="FFA8D08D"/>
        <bgColor rgb="FFA8D08D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right style="thin">
        <color rgb="FF000000"/>
      </right>
      <bottom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/>
      <top/>
      <bottom style="thin">
        <color rgb="FF000000"/>
      </bottom>
    </border>
    <border>
      <left style="thin">
        <color rgb="FF000000"/>
      </left>
      <right style="thin">
        <color rgb="FF000000"/>
      </right>
    </border>
  </borders>
  <cellStyleXfs count="1">
    <xf borderId="0" fillId="0" fontId="0" numFmtId="0" applyAlignment="1" applyFont="1"/>
  </cellStyleXfs>
  <cellXfs count="18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shrinkToFit="0" vertical="bottom" wrapText="0"/>
    </xf>
    <xf borderId="0" fillId="0" fontId="2" numFmtId="0" xfId="0" applyAlignment="1" applyFont="1">
      <alignment shrinkToFit="0" vertical="bottom" wrapText="0"/>
    </xf>
    <xf borderId="0" fillId="0" fontId="2" numFmtId="0" xfId="0" applyAlignment="1" applyFont="1">
      <alignment shrinkToFit="0" vertical="bottom" wrapText="1"/>
    </xf>
    <xf borderId="1" fillId="2" fontId="2" numFmtId="0" xfId="0" applyAlignment="1" applyBorder="1" applyFill="1" applyFont="1">
      <alignment horizontal="center" shrinkToFit="0" vertical="bottom" wrapText="0"/>
    </xf>
    <xf borderId="2" fillId="2" fontId="2" numFmtId="0" xfId="0" applyAlignment="1" applyBorder="1" applyFill="1" applyFont="1">
      <alignment horizontal="center" shrinkToFit="0" vertical="bottom" wrapText="0"/>
    </xf>
    <xf borderId="3" fillId="0" fontId="3" numFmtId="0" xfId="0" applyBorder="1" applyFont="1"/>
    <xf borderId="4" fillId="0" fontId="3" numFmtId="0" xfId="0" applyBorder="1" applyFont="1"/>
    <xf borderId="5" fillId="0" fontId="3" numFmtId="0" xfId="0" applyBorder="1" applyFont="1"/>
    <xf borderId="6" fillId="2" fontId="2" numFmtId="0" xfId="0" applyAlignment="1" applyBorder="1" applyFill="1" applyFont="1">
      <alignment shrinkToFit="0" vertical="bottom" wrapText="0"/>
    </xf>
    <xf borderId="7" fillId="0" fontId="3" numFmtId="0" xfId="0" applyBorder="1" applyFont="1"/>
    <xf borderId="8" fillId="3" fontId="2" numFmtId="0" xfId="0" applyAlignment="1" applyBorder="1" applyFill="1" applyFont="1">
      <alignment shrinkToFit="0" vertical="bottom" wrapText="0"/>
    </xf>
    <xf borderId="9" fillId="3" fontId="2" numFmtId="0" xfId="0" applyAlignment="1" applyBorder="1" applyFill="1" applyFont="1">
      <alignment horizontal="center" shrinkToFit="0" vertical="bottom" wrapText="1"/>
    </xf>
    <xf borderId="1" fillId="0" fontId="2" numFmtId="0" xfId="0" applyAlignment="1" applyBorder="1" applyFont="1">
      <alignment shrinkToFit="0" vertical="bottom" wrapText="0"/>
    </xf>
    <xf borderId="10" fillId="0" fontId="2" numFmtId="0" xfId="0" applyAlignment="1" applyBorder="1" applyFont="1">
      <alignment shrinkToFit="0" vertical="bottom" wrapText="0"/>
    </xf>
    <xf borderId="5" fillId="0" fontId="2" numFmtId="0" xfId="0" applyAlignment="1" applyBorder="1" applyFont="1">
      <alignment shrinkToFit="0" vertical="bottom" wrapText="0"/>
    </xf>
    <xf borderId="0" fillId="0" fontId="4" numFmtId="0" xfId="0" applyAlignment="1" applyFont="1">
      <alignment shrinkToFit="0" vertical="bottom" wrapText="0"/>
    </xf>
    <xf borderId="0" fillId="0" fontId="2" numFmtId="0" xfId="0" applyAlignment="1" applyFont="1">
      <alignment horizontal="center" shrinkToFit="0" vertical="bottom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6.29"/>
    <col customWidth="1" min="2" max="2" width="17.0"/>
    <col customWidth="1" min="3" max="3" width="5.14"/>
    <col customWidth="1" min="4" max="4" width="4.57"/>
    <col customWidth="1" min="5" max="5" width="5.14"/>
    <col customWidth="1" min="6" max="6" width="5.43"/>
    <col customWidth="1" min="7" max="7" width="37.29"/>
    <col customWidth="1" min="8" max="8" width="4.71"/>
    <col customWidth="1" min="9" max="9" width="4.86"/>
    <col customWidth="1" min="10" max="10" width="4.71"/>
    <col customWidth="1" min="11" max="12" width="4.86"/>
    <col customWidth="1" min="13" max="13" width="4.43"/>
    <col customWidth="1" min="14" max="14" width="5.14"/>
    <col customWidth="1" min="15" max="16" width="4.86"/>
    <col customWidth="1" min="17" max="17" width="5.0"/>
    <col customWidth="1" min="18" max="20" width="4.29"/>
    <col customWidth="1" min="21" max="21" width="4.71"/>
    <col customWidth="1" min="22" max="22" width="4.43"/>
    <col customWidth="1" min="23" max="23" width="10.71"/>
  </cols>
  <sheetData>
    <row r="1" ht="27.0" customHeight="1">
      <c r="A1" s="1" t="s">
        <v>3</v>
      </c>
      <c r="B1" s="2"/>
      <c r="C1" s="2"/>
      <c r="D1" s="2"/>
      <c r="E1" s="2"/>
      <c r="F1" s="2"/>
      <c r="G1" s="3" t="s">
        <v>4</v>
      </c>
      <c r="H1" s="3"/>
      <c r="I1" s="3"/>
      <c r="J1" s="3"/>
      <c r="K1" s="3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ht="14.2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ht="14.25" customHeight="1">
      <c r="A3" s="4" t="s">
        <v>5</v>
      </c>
      <c r="B3" s="4" t="s">
        <v>6</v>
      </c>
      <c r="C3" s="5" t="s">
        <v>7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7"/>
      <c r="W3" s="4" t="s">
        <v>8</v>
      </c>
    </row>
    <row r="4" ht="14.25" customHeight="1">
      <c r="A4" s="8"/>
      <c r="B4" s="8"/>
      <c r="C4" s="9">
        <v>1.0</v>
      </c>
      <c r="D4" s="9">
        <v>2.0</v>
      </c>
      <c r="E4" s="9">
        <v>3.0</v>
      </c>
      <c r="F4" s="9">
        <v>4.0</v>
      </c>
      <c r="G4" s="9">
        <v>5.0</v>
      </c>
      <c r="H4" s="9">
        <v>6.0</v>
      </c>
      <c r="I4" s="9">
        <v>7.0</v>
      </c>
      <c r="J4" s="9">
        <v>8.0</v>
      </c>
      <c r="K4" s="9">
        <v>9.0</v>
      </c>
      <c r="L4" s="9">
        <v>10.0</v>
      </c>
      <c r="M4" s="9">
        <v>11.0</v>
      </c>
      <c r="N4" s="9">
        <v>12.0</v>
      </c>
      <c r="O4" s="9">
        <v>13.0</v>
      </c>
      <c r="P4" s="9">
        <v>14.0</v>
      </c>
      <c r="Q4" s="9">
        <v>15.0</v>
      </c>
      <c r="R4" s="9">
        <v>16.0</v>
      </c>
      <c r="S4" s="9">
        <v>17.0</v>
      </c>
      <c r="T4" s="9">
        <v>18.0</v>
      </c>
      <c r="U4" s="9">
        <v>19.0</v>
      </c>
      <c r="V4" s="9">
        <v>20.0</v>
      </c>
      <c r="W4" s="10"/>
    </row>
    <row r="5" ht="14.25" customHeight="1">
      <c r="A5" s="11" t="s">
        <v>15</v>
      </c>
      <c r="B5" s="12">
        <v>6.0</v>
      </c>
      <c r="C5" s="11">
        <v>6.0</v>
      </c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3">
        <f t="shared" ref="W5:W24" si="1">SUM(C5:V5)</f>
        <v>6</v>
      </c>
    </row>
    <row r="6" ht="14.25" customHeight="1">
      <c r="A6" s="11" t="s">
        <v>19</v>
      </c>
      <c r="B6" s="12">
        <v>6.0</v>
      </c>
      <c r="C6" s="11"/>
      <c r="D6" s="11">
        <v>3.0</v>
      </c>
      <c r="E6" s="11"/>
      <c r="F6" s="11">
        <v>3.0</v>
      </c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4">
        <f t="shared" si="1"/>
        <v>6</v>
      </c>
    </row>
    <row r="7" ht="14.25" customHeight="1">
      <c r="A7" s="11" t="s">
        <v>25</v>
      </c>
      <c r="B7" s="12">
        <v>8.0</v>
      </c>
      <c r="C7" s="11"/>
      <c r="D7" s="11"/>
      <c r="E7" s="11"/>
      <c r="F7" s="11"/>
      <c r="G7" s="11">
        <v>4.0</v>
      </c>
      <c r="H7" s="11"/>
      <c r="I7" s="11">
        <v>4.0</v>
      </c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4">
        <f t="shared" si="1"/>
        <v>8</v>
      </c>
    </row>
    <row r="8" ht="14.25" customHeight="1">
      <c r="A8" s="11" t="s">
        <v>29</v>
      </c>
      <c r="B8" s="12">
        <v>4.0</v>
      </c>
      <c r="C8" s="11"/>
      <c r="D8" s="11"/>
      <c r="E8" s="11"/>
      <c r="F8" s="11"/>
      <c r="G8" s="11"/>
      <c r="H8" s="11"/>
      <c r="I8" s="11"/>
      <c r="J8" s="11">
        <v>4.0</v>
      </c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4">
        <f t="shared" si="1"/>
        <v>4</v>
      </c>
    </row>
    <row r="9" ht="14.25" customHeight="1">
      <c r="A9" s="11" t="s">
        <v>33</v>
      </c>
      <c r="B9" s="12">
        <v>5.0</v>
      </c>
      <c r="C9" s="11"/>
      <c r="D9" s="11"/>
      <c r="E9" s="11"/>
      <c r="F9" s="11"/>
      <c r="G9" s="11"/>
      <c r="H9" s="11"/>
      <c r="I9" s="11"/>
      <c r="J9" s="11"/>
      <c r="K9" s="11">
        <v>3.0</v>
      </c>
      <c r="L9" s="11"/>
      <c r="M9" s="11">
        <v>2.0</v>
      </c>
      <c r="N9" s="11"/>
      <c r="O9" s="11"/>
      <c r="P9" s="11"/>
      <c r="Q9" s="11"/>
      <c r="R9" s="11"/>
      <c r="S9" s="11"/>
      <c r="T9" s="11"/>
      <c r="U9" s="11"/>
      <c r="V9" s="11"/>
      <c r="W9" s="14">
        <f t="shared" si="1"/>
        <v>5</v>
      </c>
    </row>
    <row r="10" ht="14.25" customHeight="1">
      <c r="A10" s="11" t="s">
        <v>35</v>
      </c>
      <c r="B10" s="12">
        <v>3.0</v>
      </c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>
        <v>3.0</v>
      </c>
      <c r="O10" s="11"/>
      <c r="P10" s="11"/>
      <c r="Q10" s="11"/>
      <c r="R10" s="11"/>
      <c r="S10" s="11"/>
      <c r="T10" s="11"/>
      <c r="U10" s="11"/>
      <c r="V10" s="11"/>
      <c r="W10" s="14">
        <f t="shared" si="1"/>
        <v>3</v>
      </c>
    </row>
    <row r="11" ht="14.25" customHeight="1">
      <c r="A11" s="11" t="s">
        <v>39</v>
      </c>
      <c r="B11" s="12">
        <v>8.0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>
        <v>3.0</v>
      </c>
      <c r="P11" s="11"/>
      <c r="Q11" s="11">
        <v>3.0</v>
      </c>
      <c r="R11" s="11">
        <v>2.0</v>
      </c>
      <c r="S11" s="11"/>
      <c r="T11" s="11"/>
      <c r="U11" s="11"/>
      <c r="V11" s="11"/>
      <c r="W11" s="14">
        <f t="shared" si="1"/>
        <v>8</v>
      </c>
    </row>
    <row r="12" ht="14.25" customHeight="1">
      <c r="A12" s="11" t="s">
        <v>41</v>
      </c>
      <c r="B12" s="12">
        <v>4.0</v>
      </c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>
        <v>2.0</v>
      </c>
      <c r="U12" s="11">
        <v>2.0</v>
      </c>
      <c r="V12" s="11"/>
      <c r="W12" s="14">
        <f t="shared" si="1"/>
        <v>4</v>
      </c>
    </row>
    <row r="13" ht="14.25" customHeight="1">
      <c r="A13" s="11"/>
      <c r="B13" s="12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4">
        <f t="shared" si="1"/>
        <v>0</v>
      </c>
    </row>
    <row r="14" ht="14.25" customHeight="1">
      <c r="A14" s="11"/>
      <c r="B14" s="12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4">
        <f t="shared" si="1"/>
        <v>0</v>
      </c>
    </row>
    <row r="15" ht="14.25" customHeight="1">
      <c r="A15" s="11"/>
      <c r="B15" s="12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4">
        <f t="shared" si="1"/>
        <v>0</v>
      </c>
    </row>
    <row r="16" ht="14.25" customHeight="1">
      <c r="A16" s="11"/>
      <c r="B16" s="12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4">
        <f t="shared" si="1"/>
        <v>0</v>
      </c>
    </row>
    <row r="17" ht="14.25" customHeight="1">
      <c r="A17" s="11"/>
      <c r="B17" s="12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4">
        <f t="shared" si="1"/>
        <v>0</v>
      </c>
    </row>
    <row r="18" ht="14.25" customHeight="1">
      <c r="A18" s="11"/>
      <c r="B18" s="12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4">
        <f t="shared" si="1"/>
        <v>0</v>
      </c>
    </row>
    <row r="19" ht="14.25" customHeight="1">
      <c r="A19" s="11"/>
      <c r="B19" s="12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4">
        <f t="shared" si="1"/>
        <v>0</v>
      </c>
    </row>
    <row r="20" ht="14.25" customHeight="1">
      <c r="A20" s="11"/>
      <c r="B20" s="12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4">
        <f t="shared" si="1"/>
        <v>0</v>
      </c>
    </row>
    <row r="21" ht="14.25" customHeight="1">
      <c r="A21" s="11"/>
      <c r="B21" s="12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4">
        <f t="shared" si="1"/>
        <v>0</v>
      </c>
    </row>
    <row r="22" ht="14.25" customHeight="1">
      <c r="A22" s="11"/>
      <c r="B22" s="12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4">
        <f t="shared" si="1"/>
        <v>0</v>
      </c>
    </row>
    <row r="23" ht="14.25" customHeight="1">
      <c r="A23" s="11"/>
      <c r="B23" s="12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4">
        <f t="shared" si="1"/>
        <v>0</v>
      </c>
    </row>
    <row r="24" ht="14.25" customHeight="1">
      <c r="A24" s="11"/>
      <c r="B24" s="12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5">
        <f t="shared" si="1"/>
        <v>0</v>
      </c>
    </row>
    <row r="25" ht="14.2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ht="14.25" customHeight="1">
      <c r="A26" s="2"/>
      <c r="B26" s="16">
        <f>SUM(B5:B24)</f>
        <v>44</v>
      </c>
      <c r="C26" s="16">
        <f>B26</f>
        <v>44</v>
      </c>
      <c r="D26" s="16">
        <f t="shared" ref="D26:W26" si="2">C26-SUM(C5:C24)</f>
        <v>38</v>
      </c>
      <c r="E26" s="16">
        <f t="shared" si="2"/>
        <v>35</v>
      </c>
      <c r="F26" s="16">
        <f t="shared" si="2"/>
        <v>35</v>
      </c>
      <c r="G26" s="16">
        <f t="shared" si="2"/>
        <v>32</v>
      </c>
      <c r="H26" s="16">
        <f t="shared" si="2"/>
        <v>28</v>
      </c>
      <c r="I26" s="16">
        <f t="shared" si="2"/>
        <v>28</v>
      </c>
      <c r="J26" s="16">
        <f t="shared" si="2"/>
        <v>24</v>
      </c>
      <c r="K26" s="16">
        <f t="shared" si="2"/>
        <v>20</v>
      </c>
      <c r="L26" s="16">
        <f t="shared" si="2"/>
        <v>17</v>
      </c>
      <c r="M26" s="16">
        <f t="shared" si="2"/>
        <v>17</v>
      </c>
      <c r="N26" s="16">
        <f t="shared" si="2"/>
        <v>15</v>
      </c>
      <c r="O26" s="16">
        <f t="shared" si="2"/>
        <v>12</v>
      </c>
      <c r="P26" s="16">
        <f t="shared" si="2"/>
        <v>9</v>
      </c>
      <c r="Q26" s="16">
        <f t="shared" si="2"/>
        <v>9</v>
      </c>
      <c r="R26" s="16">
        <f t="shared" si="2"/>
        <v>6</v>
      </c>
      <c r="S26" s="16">
        <f t="shared" si="2"/>
        <v>4</v>
      </c>
      <c r="T26" s="16">
        <f t="shared" si="2"/>
        <v>4</v>
      </c>
      <c r="U26" s="16">
        <f t="shared" si="2"/>
        <v>2</v>
      </c>
      <c r="V26" s="16">
        <f t="shared" si="2"/>
        <v>0</v>
      </c>
      <c r="W26" s="16">
        <f t="shared" si="2"/>
        <v>0</v>
      </c>
    </row>
    <row r="27" ht="14.25" customHeight="1">
      <c r="A27" s="3" t="s">
        <v>45</v>
      </c>
      <c r="B27" s="2">
        <f>B26</f>
        <v>44</v>
      </c>
      <c r="C27" s="2">
        <f t="shared" ref="C27:V27" si="3">D26</f>
        <v>38</v>
      </c>
      <c r="D27" s="2">
        <f t="shared" si="3"/>
        <v>35</v>
      </c>
      <c r="E27" s="2">
        <f t="shared" si="3"/>
        <v>35</v>
      </c>
      <c r="F27" s="2">
        <f t="shared" si="3"/>
        <v>32</v>
      </c>
      <c r="G27" s="2">
        <f t="shared" si="3"/>
        <v>28</v>
      </c>
      <c r="H27" s="2">
        <f t="shared" si="3"/>
        <v>28</v>
      </c>
      <c r="I27" s="2">
        <f t="shared" si="3"/>
        <v>24</v>
      </c>
      <c r="J27" s="2">
        <f t="shared" si="3"/>
        <v>20</v>
      </c>
      <c r="K27" s="2">
        <f t="shared" si="3"/>
        <v>17</v>
      </c>
      <c r="L27" s="2">
        <f t="shared" si="3"/>
        <v>17</v>
      </c>
      <c r="M27" s="2">
        <f t="shared" si="3"/>
        <v>15</v>
      </c>
      <c r="N27" s="2">
        <f t="shared" si="3"/>
        <v>12</v>
      </c>
      <c r="O27" s="2">
        <f t="shared" si="3"/>
        <v>9</v>
      </c>
      <c r="P27" s="2">
        <f t="shared" si="3"/>
        <v>9</v>
      </c>
      <c r="Q27" s="2">
        <f t="shared" si="3"/>
        <v>6</v>
      </c>
      <c r="R27" s="2">
        <f t="shared" si="3"/>
        <v>4</v>
      </c>
      <c r="S27" s="2">
        <f t="shared" si="3"/>
        <v>4</v>
      </c>
      <c r="T27" s="2">
        <f t="shared" si="3"/>
        <v>2</v>
      </c>
      <c r="U27" s="2">
        <f t="shared" si="3"/>
        <v>0</v>
      </c>
      <c r="V27" s="2">
        <f t="shared" si="3"/>
        <v>0</v>
      </c>
      <c r="W27" s="2"/>
    </row>
    <row r="28" ht="14.25" customHeight="1">
      <c r="A28" s="2" t="s">
        <v>46</v>
      </c>
      <c r="B28" s="16">
        <f t="shared" ref="B28:B29" si="5">SUM(B5:B24)</f>
        <v>44</v>
      </c>
      <c r="C28" s="16">
        <f t="shared" ref="C28:C29" si="6">MAX(0,$B$28-($B$28/20)*1)</f>
        <v>41.8</v>
      </c>
      <c r="D28" s="16">
        <f t="shared" ref="D28:D29" si="7">MAX(0,$B$28-($B$28/20)*2)</f>
        <v>39.6</v>
      </c>
      <c r="E28" s="16">
        <f>MAX(0,$B$28-($B$28/20)*3)</f>
        <v>37.4</v>
      </c>
      <c r="F28" s="16">
        <f>MAX(0,$B$28-($B$28/20)*4)</f>
        <v>35.2</v>
      </c>
      <c r="G28" s="16">
        <f t="shared" ref="G28:W28" si="4">MAX(0,$B$28-($B$28/20)*5)</f>
        <v>33</v>
      </c>
      <c r="H28" s="16">
        <f t="shared" si="4"/>
        <v>33</v>
      </c>
      <c r="I28" s="16">
        <f t="shared" si="4"/>
        <v>33</v>
      </c>
      <c r="J28" s="16">
        <f t="shared" si="4"/>
        <v>33</v>
      </c>
      <c r="K28" s="16">
        <f t="shared" si="4"/>
        <v>33</v>
      </c>
      <c r="L28" s="16">
        <f t="shared" si="4"/>
        <v>33</v>
      </c>
      <c r="M28" s="16">
        <f t="shared" si="4"/>
        <v>33</v>
      </c>
      <c r="N28" s="16">
        <f t="shared" si="4"/>
        <v>33</v>
      </c>
      <c r="O28" s="16">
        <f t="shared" si="4"/>
        <v>33</v>
      </c>
      <c r="P28" s="16">
        <f t="shared" si="4"/>
        <v>33</v>
      </c>
      <c r="Q28" s="16">
        <f t="shared" si="4"/>
        <v>33</v>
      </c>
      <c r="R28" s="16">
        <f t="shared" si="4"/>
        <v>33</v>
      </c>
      <c r="S28" s="16">
        <f t="shared" si="4"/>
        <v>33</v>
      </c>
      <c r="T28" s="16">
        <f t="shared" si="4"/>
        <v>33</v>
      </c>
      <c r="U28" s="16">
        <f t="shared" si="4"/>
        <v>33</v>
      </c>
      <c r="V28" s="16">
        <f t="shared" si="4"/>
        <v>33</v>
      </c>
      <c r="W28" s="16">
        <f t="shared" si="4"/>
        <v>33</v>
      </c>
    </row>
    <row r="29" ht="14.25" customHeight="1">
      <c r="A29" s="3" t="s">
        <v>46</v>
      </c>
      <c r="B29" s="2">
        <f t="shared" si="5"/>
        <v>38</v>
      </c>
      <c r="C29" s="2">
        <f t="shared" si="6"/>
        <v>41.8</v>
      </c>
      <c r="D29" s="2">
        <f t="shared" si="7"/>
        <v>39.6</v>
      </c>
      <c r="E29" s="2">
        <f t="shared" ref="E29:V29" si="8">MAX(0,$B$28-($B$28/20)*2)</f>
        <v>39.6</v>
      </c>
      <c r="F29" s="2">
        <f t="shared" si="8"/>
        <v>39.6</v>
      </c>
      <c r="G29" s="2">
        <f t="shared" si="8"/>
        <v>39.6</v>
      </c>
      <c r="H29" s="2">
        <f t="shared" si="8"/>
        <v>39.6</v>
      </c>
      <c r="I29" s="2">
        <f t="shared" si="8"/>
        <v>39.6</v>
      </c>
      <c r="J29" s="2">
        <f t="shared" si="8"/>
        <v>39.6</v>
      </c>
      <c r="K29" s="2">
        <f t="shared" si="8"/>
        <v>39.6</v>
      </c>
      <c r="L29" s="2">
        <f t="shared" si="8"/>
        <v>39.6</v>
      </c>
      <c r="M29" s="2">
        <f t="shared" si="8"/>
        <v>39.6</v>
      </c>
      <c r="N29" s="2">
        <f t="shared" si="8"/>
        <v>39.6</v>
      </c>
      <c r="O29" s="2">
        <f t="shared" si="8"/>
        <v>39.6</v>
      </c>
      <c r="P29" s="2">
        <f t="shared" si="8"/>
        <v>39.6</v>
      </c>
      <c r="Q29" s="2">
        <f t="shared" si="8"/>
        <v>39.6</v>
      </c>
      <c r="R29" s="2">
        <f t="shared" si="8"/>
        <v>39.6</v>
      </c>
      <c r="S29" s="2">
        <f t="shared" si="8"/>
        <v>39.6</v>
      </c>
      <c r="T29" s="2">
        <f t="shared" si="8"/>
        <v>39.6</v>
      </c>
      <c r="U29" s="2">
        <f t="shared" si="8"/>
        <v>39.6</v>
      </c>
      <c r="V29" s="2">
        <f t="shared" si="8"/>
        <v>39.6</v>
      </c>
      <c r="W29" s="2"/>
    </row>
    <row r="30" ht="14.25" customHeight="1">
      <c r="A30" s="2"/>
      <c r="B30" s="17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</row>
    <row r="31" ht="14.25" customHeight="1">
      <c r="A31" s="2"/>
      <c r="B31" s="17"/>
      <c r="C31" s="2"/>
      <c r="D31" s="2"/>
      <c r="E31" s="2"/>
      <c r="F31" s="2"/>
      <c r="G31" s="17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</row>
    <row r="32" ht="14.25" customHeight="1">
      <c r="A32" s="2"/>
      <c r="B32" s="17"/>
      <c r="C32" s="2"/>
      <c r="D32" s="2"/>
      <c r="E32" s="2"/>
      <c r="F32" s="2"/>
      <c r="G32" s="17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</row>
    <row r="33" ht="14.25" customHeight="1">
      <c r="A33" s="2"/>
      <c r="B33" s="17"/>
      <c r="C33" s="2"/>
      <c r="D33" s="2"/>
      <c r="E33" s="2"/>
      <c r="F33" s="2"/>
      <c r="G33" s="17"/>
      <c r="H33" s="2"/>
      <c r="I33" s="2"/>
    </row>
    <row r="34" ht="14.25" customHeight="1">
      <c r="A34" s="2"/>
      <c r="B34" s="17"/>
      <c r="C34" s="2"/>
      <c r="D34" s="2"/>
      <c r="E34" s="2"/>
      <c r="F34" s="2"/>
      <c r="G34" s="17"/>
      <c r="H34" s="2"/>
      <c r="I34" s="2"/>
    </row>
    <row r="35" ht="14.25" customHeight="1">
      <c r="A35" s="2"/>
      <c r="B35" s="17"/>
      <c r="C35" s="2"/>
      <c r="D35" s="2"/>
      <c r="E35" s="2"/>
      <c r="F35" s="2"/>
      <c r="G35" s="17"/>
      <c r="H35" s="2"/>
      <c r="I35" s="2"/>
    </row>
    <row r="36" ht="14.25" customHeight="1">
      <c r="A36" s="2"/>
      <c r="B36" s="17"/>
      <c r="C36" s="2"/>
      <c r="D36" s="2"/>
      <c r="E36" s="2"/>
      <c r="F36" s="2"/>
      <c r="G36" s="17"/>
      <c r="H36" s="2"/>
      <c r="I36" s="2"/>
    </row>
    <row r="37" ht="14.25" customHeight="1">
      <c r="A37" s="2"/>
      <c r="B37" s="17"/>
      <c r="C37" s="2"/>
      <c r="D37" s="2"/>
      <c r="E37" s="2"/>
      <c r="F37" s="2"/>
      <c r="G37" s="2"/>
      <c r="H37" s="2"/>
      <c r="I37" s="2"/>
    </row>
    <row r="38" ht="14.25" customHeight="1">
      <c r="A38" s="2"/>
      <c r="B38" s="17"/>
      <c r="C38" s="2"/>
      <c r="D38" s="2"/>
      <c r="E38" s="2"/>
      <c r="F38" s="2"/>
      <c r="G38" s="2"/>
      <c r="H38" s="2"/>
      <c r="I38" s="2"/>
    </row>
    <row r="39" ht="14.25" customHeight="1">
      <c r="A39" s="2"/>
      <c r="B39" s="17"/>
      <c r="C39" s="2"/>
      <c r="D39" s="2"/>
      <c r="E39" s="2"/>
      <c r="F39" s="2"/>
      <c r="G39" s="2"/>
      <c r="H39" s="2"/>
      <c r="I39" s="2"/>
    </row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A3:A4"/>
    <mergeCell ref="B3:B4"/>
    <mergeCell ref="C3:V3"/>
    <mergeCell ref="W3:W4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6.29"/>
    <col customWidth="1" min="2" max="2" width="17.0"/>
    <col customWidth="1" min="3" max="3" width="4.0"/>
    <col customWidth="1" min="4" max="6" width="3.43"/>
    <col customWidth="1" min="7" max="7" width="37.29"/>
    <col customWidth="1" min="8" max="22" width="3.43"/>
    <col customWidth="1" min="23" max="23" width="10.71"/>
  </cols>
  <sheetData>
    <row r="1" ht="27.0" customHeight="1">
      <c r="A1" s="1" t="s">
        <v>0</v>
      </c>
      <c r="B1" s="2"/>
      <c r="C1" s="2"/>
      <c r="D1" s="2"/>
      <c r="E1" s="2"/>
      <c r="F1" s="2"/>
      <c r="G1" s="3" t="s">
        <v>4</v>
      </c>
      <c r="H1" s="3"/>
      <c r="I1" s="3"/>
      <c r="J1" s="3"/>
      <c r="K1" s="3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ht="14.2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ht="14.25" customHeight="1">
      <c r="A3" s="4" t="s">
        <v>5</v>
      </c>
      <c r="B3" s="4" t="s">
        <v>6</v>
      </c>
      <c r="C3" s="5" t="s">
        <v>7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7"/>
      <c r="W3" s="4" t="s">
        <v>8</v>
      </c>
    </row>
    <row r="4" ht="14.25" customHeight="1">
      <c r="A4" s="8"/>
      <c r="B4" s="8"/>
      <c r="C4" s="9">
        <v>1.0</v>
      </c>
      <c r="D4" s="9">
        <v>2.0</v>
      </c>
      <c r="E4" s="9">
        <v>3.0</v>
      </c>
      <c r="F4" s="9">
        <v>4.0</v>
      </c>
      <c r="G4" s="9">
        <v>5.0</v>
      </c>
      <c r="H4" s="9">
        <v>6.0</v>
      </c>
      <c r="I4" s="9">
        <v>7.0</v>
      </c>
      <c r="J4" s="9">
        <v>8.0</v>
      </c>
      <c r="K4" s="9">
        <v>9.0</v>
      </c>
      <c r="L4" s="9">
        <v>10.0</v>
      </c>
      <c r="M4" s="9">
        <v>11.0</v>
      </c>
      <c r="N4" s="9">
        <v>12.0</v>
      </c>
      <c r="O4" s="9">
        <v>13.0</v>
      </c>
      <c r="P4" s="9">
        <v>14.0</v>
      </c>
      <c r="Q4" s="9">
        <v>15.0</v>
      </c>
      <c r="R4" s="9">
        <v>16.0</v>
      </c>
      <c r="S4" s="9">
        <v>17.0</v>
      </c>
      <c r="T4" s="9">
        <v>18.0</v>
      </c>
      <c r="U4" s="9">
        <v>19.0</v>
      </c>
      <c r="V4" s="9">
        <v>20.0</v>
      </c>
      <c r="W4" s="10"/>
    </row>
    <row r="5" ht="14.25" customHeight="1">
      <c r="A5" s="11" t="s">
        <v>10</v>
      </c>
      <c r="B5" s="12">
        <v>8.0</v>
      </c>
      <c r="C5" s="11">
        <v>4.0</v>
      </c>
      <c r="D5" s="11">
        <v>4.0</v>
      </c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3">
        <f t="shared" ref="W5:W24" si="1">SUM(C5:V5)</f>
        <v>8</v>
      </c>
    </row>
    <row r="6" ht="14.25" customHeight="1">
      <c r="A6" s="11" t="s">
        <v>13</v>
      </c>
      <c r="B6" s="12">
        <v>8.0</v>
      </c>
      <c r="C6" s="11"/>
      <c r="D6" s="11"/>
      <c r="E6" s="11">
        <v>3.0</v>
      </c>
      <c r="F6" s="11">
        <v>3.0</v>
      </c>
      <c r="G6" s="11">
        <v>2.0</v>
      </c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4">
        <f t="shared" si="1"/>
        <v>8</v>
      </c>
    </row>
    <row r="7" ht="14.25" customHeight="1">
      <c r="A7" s="11" t="s">
        <v>18</v>
      </c>
      <c r="B7" s="12">
        <v>8.0</v>
      </c>
      <c r="C7" s="11"/>
      <c r="D7" s="11"/>
      <c r="E7" s="11"/>
      <c r="F7" s="11"/>
      <c r="G7" s="11"/>
      <c r="H7" s="11"/>
      <c r="I7" s="11">
        <v>4.0</v>
      </c>
      <c r="J7" s="11">
        <v>4.0</v>
      </c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4">
        <f t="shared" si="1"/>
        <v>8</v>
      </c>
    </row>
    <row r="8" ht="14.25" customHeight="1">
      <c r="A8" s="11" t="s">
        <v>20</v>
      </c>
      <c r="B8" s="12">
        <v>6.0</v>
      </c>
      <c r="C8" s="11"/>
      <c r="D8" s="11"/>
      <c r="E8" s="11"/>
      <c r="F8" s="11"/>
      <c r="G8" s="11"/>
      <c r="H8" s="11"/>
      <c r="I8" s="11"/>
      <c r="J8" s="11"/>
      <c r="K8" s="11">
        <v>3.0</v>
      </c>
      <c r="L8" s="11">
        <v>3.0</v>
      </c>
      <c r="M8" s="11"/>
      <c r="N8" s="11"/>
      <c r="O8" s="11"/>
      <c r="P8" s="11"/>
      <c r="Q8" s="11"/>
      <c r="R8" s="11"/>
      <c r="S8" s="11"/>
      <c r="T8" s="11"/>
      <c r="U8" s="11"/>
      <c r="V8" s="11"/>
      <c r="W8" s="14">
        <f t="shared" si="1"/>
        <v>6</v>
      </c>
    </row>
    <row r="9" ht="14.25" customHeight="1">
      <c r="A9" s="11" t="s">
        <v>23</v>
      </c>
      <c r="B9" s="12">
        <v>6.0</v>
      </c>
      <c r="C9" s="11"/>
      <c r="D9" s="11"/>
      <c r="E9" s="11"/>
      <c r="F9" s="11"/>
      <c r="G9" s="11"/>
      <c r="H9" s="11"/>
      <c r="I9" s="11"/>
      <c r="J9" s="11"/>
      <c r="K9" s="11"/>
      <c r="L9" s="11"/>
      <c r="M9" s="11">
        <v>3.0</v>
      </c>
      <c r="N9" s="11">
        <v>3.0</v>
      </c>
      <c r="O9" s="11"/>
      <c r="P9" s="11"/>
      <c r="Q9" s="11"/>
      <c r="R9" s="11"/>
      <c r="S9" s="11"/>
      <c r="T9" s="11"/>
      <c r="U9" s="11"/>
      <c r="V9" s="11"/>
      <c r="W9" s="14">
        <f t="shared" si="1"/>
        <v>6</v>
      </c>
    </row>
    <row r="10" ht="14.25" customHeight="1">
      <c r="A10" s="11" t="s">
        <v>27</v>
      </c>
      <c r="B10" s="12">
        <v>6.0</v>
      </c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>
        <v>3.0</v>
      </c>
      <c r="P10" s="11"/>
      <c r="Q10" s="11">
        <v>3.0</v>
      </c>
      <c r="R10" s="11"/>
      <c r="S10" s="11"/>
      <c r="T10" s="11"/>
      <c r="U10" s="11"/>
      <c r="V10" s="11"/>
      <c r="W10" s="14">
        <f t="shared" si="1"/>
        <v>6</v>
      </c>
    </row>
    <row r="11" ht="14.25" customHeight="1">
      <c r="A11" s="11" t="s">
        <v>31</v>
      </c>
      <c r="B11" s="12">
        <v>8.0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>
        <v>3.0</v>
      </c>
      <c r="S11" s="11">
        <v>3.0</v>
      </c>
      <c r="T11" s="11">
        <v>2.0</v>
      </c>
      <c r="U11" s="11"/>
      <c r="V11" s="11"/>
      <c r="W11" s="14">
        <f t="shared" si="1"/>
        <v>8</v>
      </c>
    </row>
    <row r="12" ht="14.25" customHeight="1">
      <c r="A12" s="11" t="s">
        <v>38</v>
      </c>
      <c r="B12" s="12">
        <v>4.0</v>
      </c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>
        <v>4.0</v>
      </c>
      <c r="V12" s="11"/>
      <c r="W12" s="14">
        <f t="shared" si="1"/>
        <v>4</v>
      </c>
    </row>
    <row r="13" ht="14.25" customHeight="1">
      <c r="A13" s="11"/>
      <c r="B13" s="12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4">
        <f t="shared" si="1"/>
        <v>0</v>
      </c>
    </row>
    <row r="14" ht="14.25" customHeight="1">
      <c r="A14" s="11"/>
      <c r="B14" s="12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4">
        <f t="shared" si="1"/>
        <v>0</v>
      </c>
    </row>
    <row r="15" ht="14.25" customHeight="1">
      <c r="A15" s="11"/>
      <c r="B15" s="12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4">
        <f t="shared" si="1"/>
        <v>0</v>
      </c>
    </row>
    <row r="16" ht="14.25" customHeight="1">
      <c r="A16" s="11"/>
      <c r="B16" s="12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4">
        <f t="shared" si="1"/>
        <v>0</v>
      </c>
    </row>
    <row r="17" ht="14.25" customHeight="1">
      <c r="A17" s="11"/>
      <c r="B17" s="12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4">
        <f t="shared" si="1"/>
        <v>0</v>
      </c>
    </row>
    <row r="18" ht="14.25" customHeight="1">
      <c r="A18" s="11"/>
      <c r="B18" s="12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4">
        <f t="shared" si="1"/>
        <v>0</v>
      </c>
    </row>
    <row r="19" ht="14.25" customHeight="1">
      <c r="A19" s="11"/>
      <c r="B19" s="12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4">
        <f t="shared" si="1"/>
        <v>0</v>
      </c>
    </row>
    <row r="20" ht="14.25" customHeight="1">
      <c r="A20" s="11"/>
      <c r="B20" s="12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4">
        <f t="shared" si="1"/>
        <v>0</v>
      </c>
    </row>
    <row r="21" ht="14.25" customHeight="1">
      <c r="A21" s="11"/>
      <c r="B21" s="12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4">
        <f t="shared" si="1"/>
        <v>0</v>
      </c>
    </row>
    <row r="22" ht="14.25" customHeight="1">
      <c r="A22" s="11"/>
      <c r="B22" s="12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4">
        <f t="shared" si="1"/>
        <v>0</v>
      </c>
    </row>
    <row r="23" ht="14.25" customHeight="1">
      <c r="A23" s="11"/>
      <c r="B23" s="12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4">
        <f t="shared" si="1"/>
        <v>0</v>
      </c>
    </row>
    <row r="24" ht="14.25" customHeight="1">
      <c r="A24" s="11"/>
      <c r="B24" s="12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5">
        <f t="shared" si="1"/>
        <v>0</v>
      </c>
    </row>
    <row r="25" ht="14.2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ht="14.25" customHeight="1">
      <c r="A26" s="2"/>
      <c r="B26" s="16">
        <f>SUM(B5:B24)</f>
        <v>54</v>
      </c>
      <c r="C26" s="16">
        <f>B26</f>
        <v>54</v>
      </c>
      <c r="D26" s="16">
        <f t="shared" ref="D26:V26" si="2">C26-SUM(C5:C24)</f>
        <v>50</v>
      </c>
      <c r="E26" s="16">
        <f t="shared" si="2"/>
        <v>46</v>
      </c>
      <c r="F26" s="16">
        <f t="shared" si="2"/>
        <v>43</v>
      </c>
      <c r="G26" s="16">
        <f t="shared" si="2"/>
        <v>40</v>
      </c>
      <c r="H26" s="16">
        <f t="shared" si="2"/>
        <v>38</v>
      </c>
      <c r="I26" s="16">
        <f t="shared" si="2"/>
        <v>38</v>
      </c>
      <c r="J26" s="16">
        <f t="shared" si="2"/>
        <v>34</v>
      </c>
      <c r="K26" s="16">
        <f t="shared" si="2"/>
        <v>30</v>
      </c>
      <c r="L26" s="16">
        <f t="shared" si="2"/>
        <v>27</v>
      </c>
      <c r="M26" s="16">
        <f t="shared" si="2"/>
        <v>24</v>
      </c>
      <c r="N26" s="16">
        <f t="shared" si="2"/>
        <v>21</v>
      </c>
      <c r="O26" s="16">
        <f t="shared" si="2"/>
        <v>18</v>
      </c>
      <c r="P26" s="16">
        <f t="shared" si="2"/>
        <v>15</v>
      </c>
      <c r="Q26" s="16">
        <f t="shared" si="2"/>
        <v>15</v>
      </c>
      <c r="R26" s="16">
        <f t="shared" si="2"/>
        <v>12</v>
      </c>
      <c r="S26" s="16">
        <f t="shared" si="2"/>
        <v>9</v>
      </c>
      <c r="T26" s="16">
        <f t="shared" si="2"/>
        <v>6</v>
      </c>
      <c r="U26" s="16">
        <f t="shared" si="2"/>
        <v>4</v>
      </c>
      <c r="V26" s="16">
        <f t="shared" si="2"/>
        <v>0</v>
      </c>
      <c r="W26" s="16">
        <v>0.0</v>
      </c>
    </row>
    <row r="27" ht="14.25" customHeight="1">
      <c r="A27" s="3" t="s">
        <v>45</v>
      </c>
      <c r="B27" s="2">
        <f>B26</f>
        <v>54</v>
      </c>
      <c r="C27" s="2">
        <f t="shared" ref="C27:U27" si="3">D26</f>
        <v>50</v>
      </c>
      <c r="D27" s="2">
        <f t="shared" si="3"/>
        <v>46</v>
      </c>
      <c r="E27" s="2">
        <f t="shared" si="3"/>
        <v>43</v>
      </c>
      <c r="F27" s="2">
        <f t="shared" si="3"/>
        <v>40</v>
      </c>
      <c r="G27" s="2">
        <f t="shared" si="3"/>
        <v>38</v>
      </c>
      <c r="H27" s="2">
        <f t="shared" si="3"/>
        <v>38</v>
      </c>
      <c r="I27" s="2">
        <f t="shared" si="3"/>
        <v>34</v>
      </c>
      <c r="J27" s="2">
        <f t="shared" si="3"/>
        <v>30</v>
      </c>
      <c r="K27" s="2">
        <f t="shared" si="3"/>
        <v>27</v>
      </c>
      <c r="L27" s="2">
        <f t="shared" si="3"/>
        <v>24</v>
      </c>
      <c r="M27" s="2">
        <f t="shared" si="3"/>
        <v>21</v>
      </c>
      <c r="N27" s="2">
        <f t="shared" si="3"/>
        <v>18</v>
      </c>
      <c r="O27" s="2">
        <f t="shared" si="3"/>
        <v>15</v>
      </c>
      <c r="P27" s="2">
        <f t="shared" si="3"/>
        <v>15</v>
      </c>
      <c r="Q27" s="2">
        <f t="shared" si="3"/>
        <v>12</v>
      </c>
      <c r="R27" s="2">
        <f t="shared" si="3"/>
        <v>9</v>
      </c>
      <c r="S27" s="2">
        <f t="shared" si="3"/>
        <v>6</v>
      </c>
      <c r="T27" s="2">
        <f t="shared" si="3"/>
        <v>4</v>
      </c>
      <c r="U27" s="2">
        <f t="shared" si="3"/>
        <v>0</v>
      </c>
      <c r="V27" s="2">
        <f>MAX(0,V26-SUM(V5:V24))</f>
        <v>0</v>
      </c>
      <c r="W27" s="2"/>
    </row>
    <row r="28" ht="14.25" customHeight="1">
      <c r="A28" s="2" t="s">
        <v>46</v>
      </c>
      <c r="B28" s="16">
        <f t="shared" ref="B28:B29" si="4">SUM(B5:B24)</f>
        <v>54</v>
      </c>
      <c r="C28" s="16">
        <f t="shared" ref="C28:C29" si="5">MAX(0,$B$28-($B$28/20)*1)</f>
        <v>51.3</v>
      </c>
      <c r="D28" s="16">
        <f t="shared" ref="D28:D29" si="6">MAX(0,$B$28-($B$28/20)*2)</f>
        <v>48.6</v>
      </c>
      <c r="E28" s="16">
        <f t="shared" ref="E28:E29" si="7">MAX(0,$B$28-($B$28/20)*3)</f>
        <v>45.9</v>
      </c>
      <c r="F28" s="16">
        <f t="shared" ref="F28:F29" si="8">MAX(0,$B$28-($B$28/20)*4)</f>
        <v>43.2</v>
      </c>
      <c r="G28" s="16">
        <f t="shared" ref="G28:G29" si="9">MAX(0,$B$28-($B$28/20)*5)</f>
        <v>40.5</v>
      </c>
      <c r="H28" s="16">
        <f t="shared" ref="H28:H29" si="10">MAX(0,$B$28-($B$28/20)*6)</f>
        <v>37.8</v>
      </c>
      <c r="I28" s="16">
        <f t="shared" ref="I28:I29" si="11">MAX(0,$B$28-($B$28/20)*7)</f>
        <v>35.1</v>
      </c>
      <c r="J28" s="16">
        <f t="shared" ref="J28:J29" si="12">MAX(0,$B$28-($B$28/20)*8)</f>
        <v>32.4</v>
      </c>
      <c r="K28" s="16">
        <f t="shared" ref="K28:K29" si="13">MAX(0,$B$28-($B$28/20)*9)</f>
        <v>29.7</v>
      </c>
      <c r="L28" s="16">
        <f t="shared" ref="L28:L29" si="14">MAX(0,$B$28-($B$28/20)*10)</f>
        <v>27</v>
      </c>
      <c r="M28" s="16">
        <f t="shared" ref="M28:M29" si="15">MAX(0,$B$28-($B$28/20)*11)</f>
        <v>24.3</v>
      </c>
      <c r="N28" s="16">
        <f t="shared" ref="N28:N29" si="16">MAX(0,$B$28-($B$28/20)*12)</f>
        <v>21.6</v>
      </c>
      <c r="O28" s="16">
        <f t="shared" ref="O28:O29" si="17">MAX(0,$B$28-($B$28/20)*13)</f>
        <v>18.9</v>
      </c>
      <c r="P28" s="16">
        <f t="shared" ref="P28:P29" si="18">MAX(0,$B$28-($B$28/20)*14)</f>
        <v>16.2</v>
      </c>
      <c r="Q28" s="16">
        <f t="shared" ref="Q28:Q29" si="19">MAX(0,$B$28-($B$28/20)*15)</f>
        <v>13.5</v>
      </c>
      <c r="R28" s="16">
        <f t="shared" ref="R28:R29" si="20">MAX(0,$B$28-($B$28/20)*16)</f>
        <v>10.8</v>
      </c>
      <c r="S28" s="16">
        <f t="shared" ref="S28:S29" si="21">MAX(0,$B$28-($B$28/20)*17)</f>
        <v>8.1</v>
      </c>
      <c r="T28" s="16">
        <f t="shared" ref="T28:T29" si="22">MAX(0,$B$28-($B$28/20)*18)</f>
        <v>5.4</v>
      </c>
      <c r="U28" s="16">
        <f t="shared" ref="U28:U29" si="23">MAX(0,$B$28-($B$28/20)*19)</f>
        <v>2.7</v>
      </c>
      <c r="V28" s="16">
        <f t="shared" ref="V28:V29" si="24">MAX(0,$B$28-($B$28/20)*20)</f>
        <v>0</v>
      </c>
      <c r="W28" s="16">
        <v>0.0</v>
      </c>
    </row>
    <row r="29" ht="14.25" customHeight="1">
      <c r="A29" s="3" t="s">
        <v>46</v>
      </c>
      <c r="B29" s="2">
        <f t="shared" si="4"/>
        <v>46</v>
      </c>
      <c r="C29" s="2">
        <f t="shared" si="5"/>
        <v>51.3</v>
      </c>
      <c r="D29" s="2">
        <f t="shared" si="6"/>
        <v>48.6</v>
      </c>
      <c r="E29" s="2">
        <f t="shared" si="7"/>
        <v>45.9</v>
      </c>
      <c r="F29" s="2">
        <f t="shared" si="8"/>
        <v>43.2</v>
      </c>
      <c r="G29" s="2">
        <f t="shared" si="9"/>
        <v>40.5</v>
      </c>
      <c r="H29" s="2">
        <f t="shared" si="10"/>
        <v>37.8</v>
      </c>
      <c r="I29" s="2">
        <f t="shared" si="11"/>
        <v>35.1</v>
      </c>
      <c r="J29" s="2">
        <f t="shared" si="12"/>
        <v>32.4</v>
      </c>
      <c r="K29" s="2">
        <f t="shared" si="13"/>
        <v>29.7</v>
      </c>
      <c r="L29" s="2">
        <f t="shared" si="14"/>
        <v>27</v>
      </c>
      <c r="M29" s="2">
        <f t="shared" si="15"/>
        <v>24.3</v>
      </c>
      <c r="N29" s="2">
        <f t="shared" si="16"/>
        <v>21.6</v>
      </c>
      <c r="O29" s="2">
        <f t="shared" si="17"/>
        <v>18.9</v>
      </c>
      <c r="P29" s="2">
        <f t="shared" si="18"/>
        <v>16.2</v>
      </c>
      <c r="Q29" s="2">
        <f t="shared" si="19"/>
        <v>13.5</v>
      </c>
      <c r="R29" s="2">
        <f t="shared" si="20"/>
        <v>10.8</v>
      </c>
      <c r="S29" s="2">
        <f t="shared" si="21"/>
        <v>8.1</v>
      </c>
      <c r="T29" s="2">
        <f t="shared" si="22"/>
        <v>5.4</v>
      </c>
      <c r="U29" s="2">
        <f t="shared" si="23"/>
        <v>2.7</v>
      </c>
      <c r="V29" s="2">
        <f t="shared" si="24"/>
        <v>0</v>
      </c>
      <c r="W29" s="2"/>
    </row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A3:A4"/>
    <mergeCell ref="B3:B4"/>
    <mergeCell ref="C3:V3"/>
    <mergeCell ref="W3:W4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6.29"/>
    <col customWidth="1" min="2" max="2" width="17.0"/>
    <col customWidth="1" min="3" max="3" width="4.0"/>
    <col customWidth="1" min="4" max="6" width="3.43"/>
    <col customWidth="1" min="7" max="7" width="37.29"/>
    <col customWidth="1" min="8" max="22" width="3.43"/>
    <col customWidth="1" min="23" max="23" width="10.71"/>
  </cols>
  <sheetData>
    <row r="1" ht="32.25" customHeight="1">
      <c r="A1" s="1" t="s">
        <v>1</v>
      </c>
      <c r="B1" s="2"/>
      <c r="C1" s="2"/>
      <c r="D1" s="2"/>
      <c r="E1" s="2"/>
      <c r="F1" s="2"/>
      <c r="G1" s="3" t="s">
        <v>4</v>
      </c>
      <c r="H1" s="3"/>
      <c r="I1" s="3"/>
      <c r="J1" s="3"/>
      <c r="K1" s="3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ht="14.2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ht="14.25" customHeight="1">
      <c r="A3" s="4" t="s">
        <v>5</v>
      </c>
      <c r="B3" s="4" t="s">
        <v>6</v>
      </c>
      <c r="C3" s="5" t="s">
        <v>7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7"/>
      <c r="W3" s="4" t="s">
        <v>8</v>
      </c>
    </row>
    <row r="4" ht="14.25" customHeight="1">
      <c r="A4" s="8"/>
      <c r="B4" s="8"/>
      <c r="C4" s="9">
        <v>1.0</v>
      </c>
      <c r="D4" s="9">
        <v>2.0</v>
      </c>
      <c r="E4" s="9">
        <v>3.0</v>
      </c>
      <c r="F4" s="9">
        <v>4.0</v>
      </c>
      <c r="G4" s="9">
        <v>5.0</v>
      </c>
      <c r="H4" s="9">
        <v>6.0</v>
      </c>
      <c r="I4" s="9">
        <v>7.0</v>
      </c>
      <c r="J4" s="9">
        <v>8.0</v>
      </c>
      <c r="K4" s="9">
        <v>9.0</v>
      </c>
      <c r="L4" s="9">
        <v>10.0</v>
      </c>
      <c r="M4" s="9">
        <v>11.0</v>
      </c>
      <c r="N4" s="9">
        <v>12.0</v>
      </c>
      <c r="O4" s="9">
        <v>13.0</v>
      </c>
      <c r="P4" s="9">
        <v>14.0</v>
      </c>
      <c r="Q4" s="9">
        <v>15.0</v>
      </c>
      <c r="R4" s="9">
        <v>16.0</v>
      </c>
      <c r="S4" s="9">
        <v>17.0</v>
      </c>
      <c r="T4" s="9">
        <v>18.0</v>
      </c>
      <c r="U4" s="9">
        <v>19.0</v>
      </c>
      <c r="V4" s="9">
        <v>20.0</v>
      </c>
      <c r="W4" s="10"/>
    </row>
    <row r="5" ht="14.25" customHeight="1">
      <c r="A5" s="11" t="s">
        <v>9</v>
      </c>
      <c r="B5" s="12">
        <v>8.0</v>
      </c>
      <c r="C5" s="11">
        <v>4.0</v>
      </c>
      <c r="D5" s="11">
        <v>4.0</v>
      </c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3">
        <f t="shared" ref="W5:W24" si="1">SUM(C5:V5)</f>
        <v>8</v>
      </c>
    </row>
    <row r="6" ht="14.25" customHeight="1">
      <c r="A6" s="11" t="s">
        <v>14</v>
      </c>
      <c r="B6" s="12">
        <v>6.0</v>
      </c>
      <c r="C6" s="11"/>
      <c r="D6" s="11"/>
      <c r="E6" s="11">
        <v>3.0</v>
      </c>
      <c r="F6" s="11">
        <v>3.0</v>
      </c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4">
        <f t="shared" si="1"/>
        <v>6</v>
      </c>
    </row>
    <row r="7" ht="14.25" customHeight="1">
      <c r="A7" s="11" t="s">
        <v>16</v>
      </c>
      <c r="B7" s="12">
        <v>6.0</v>
      </c>
      <c r="C7" s="11"/>
      <c r="D7" s="11"/>
      <c r="E7" s="11"/>
      <c r="F7" s="11"/>
      <c r="G7" s="11">
        <v>3.0</v>
      </c>
      <c r="H7" s="11">
        <v>3.0</v>
      </c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4">
        <f t="shared" si="1"/>
        <v>6</v>
      </c>
    </row>
    <row r="8" ht="14.25" customHeight="1">
      <c r="A8" s="11" t="s">
        <v>21</v>
      </c>
      <c r="B8" s="12">
        <v>4.0</v>
      </c>
      <c r="C8" s="11"/>
      <c r="D8" s="11"/>
      <c r="E8" s="11"/>
      <c r="F8" s="11"/>
      <c r="G8" s="11"/>
      <c r="H8" s="11"/>
      <c r="I8" s="11">
        <v>4.0</v>
      </c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4">
        <f t="shared" si="1"/>
        <v>4</v>
      </c>
    </row>
    <row r="9" ht="14.25" customHeight="1">
      <c r="A9" s="11" t="s">
        <v>24</v>
      </c>
      <c r="B9" s="12">
        <v>6.0</v>
      </c>
      <c r="C9" s="11"/>
      <c r="D9" s="11"/>
      <c r="E9" s="11"/>
      <c r="F9" s="11"/>
      <c r="G9" s="11"/>
      <c r="H9" s="11"/>
      <c r="I9" s="11"/>
      <c r="J9" s="11">
        <v>3.0</v>
      </c>
      <c r="K9" s="11">
        <v>3.0</v>
      </c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4">
        <f t="shared" si="1"/>
        <v>6</v>
      </c>
    </row>
    <row r="10" ht="14.25" customHeight="1">
      <c r="A10" s="11" t="s">
        <v>28</v>
      </c>
      <c r="B10" s="12">
        <v>4.0</v>
      </c>
      <c r="C10" s="11"/>
      <c r="D10" s="11"/>
      <c r="E10" s="11"/>
      <c r="F10" s="11"/>
      <c r="G10" s="11"/>
      <c r="H10" s="11"/>
      <c r="I10" s="11"/>
      <c r="J10" s="11"/>
      <c r="K10" s="11"/>
      <c r="L10" s="11">
        <v>4.0</v>
      </c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4">
        <f t="shared" si="1"/>
        <v>4</v>
      </c>
    </row>
    <row r="11" ht="14.25" customHeight="1">
      <c r="A11" s="11" t="s">
        <v>32</v>
      </c>
      <c r="B11" s="12">
        <v>4.0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>
        <v>4.0</v>
      </c>
      <c r="N11" s="11"/>
      <c r="O11" s="11"/>
      <c r="P11" s="11"/>
      <c r="Q11" s="11"/>
      <c r="R11" s="11"/>
      <c r="S11" s="11"/>
      <c r="T11" s="11"/>
      <c r="U11" s="11"/>
      <c r="V11" s="11"/>
      <c r="W11" s="14">
        <f t="shared" si="1"/>
        <v>4</v>
      </c>
    </row>
    <row r="12" ht="14.25" customHeight="1">
      <c r="A12" s="11" t="s">
        <v>36</v>
      </c>
      <c r="B12" s="12">
        <v>4.0</v>
      </c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>
        <v>4.0</v>
      </c>
      <c r="O12" s="11"/>
      <c r="P12" s="11"/>
      <c r="Q12" s="11"/>
      <c r="R12" s="11"/>
      <c r="S12" s="11"/>
      <c r="T12" s="11"/>
      <c r="U12" s="11"/>
      <c r="V12" s="11"/>
      <c r="W12" s="14">
        <f t="shared" si="1"/>
        <v>4</v>
      </c>
    </row>
    <row r="13" ht="14.25" customHeight="1">
      <c r="A13" s="11" t="s">
        <v>40</v>
      </c>
      <c r="B13" s="12">
        <v>8.0</v>
      </c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>
        <v>3.0</v>
      </c>
      <c r="P13" s="11">
        <v>3.0</v>
      </c>
      <c r="Q13" s="11">
        <v>2.0</v>
      </c>
      <c r="R13" s="11"/>
      <c r="S13" s="11"/>
      <c r="T13" s="11"/>
      <c r="U13" s="11"/>
      <c r="V13" s="11"/>
      <c r="W13" s="14">
        <f t="shared" si="1"/>
        <v>8</v>
      </c>
    </row>
    <row r="14" ht="14.25" customHeight="1">
      <c r="A14" s="11" t="s">
        <v>42</v>
      </c>
      <c r="B14" s="12">
        <v>6.0</v>
      </c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>
        <v>3.0</v>
      </c>
      <c r="S14" s="11">
        <v>3.0</v>
      </c>
      <c r="T14" s="11"/>
      <c r="U14" s="11"/>
      <c r="V14" s="11"/>
      <c r="W14" s="14">
        <f t="shared" si="1"/>
        <v>6</v>
      </c>
    </row>
    <row r="15" ht="14.25" customHeight="1">
      <c r="A15" s="11" t="s">
        <v>43</v>
      </c>
      <c r="B15" s="12">
        <v>6.0</v>
      </c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>
        <v>3.0</v>
      </c>
      <c r="U15" s="11">
        <v>3.0</v>
      </c>
      <c r="V15" s="11"/>
      <c r="W15" s="14">
        <f t="shared" si="1"/>
        <v>6</v>
      </c>
    </row>
    <row r="16" ht="14.25" customHeight="1">
      <c r="A16" s="11" t="s">
        <v>44</v>
      </c>
      <c r="B16" s="12">
        <v>4.0</v>
      </c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>
        <v>4.0</v>
      </c>
      <c r="W16" s="14">
        <f t="shared" si="1"/>
        <v>4</v>
      </c>
    </row>
    <row r="17" ht="14.25" customHeight="1">
      <c r="A17" s="11"/>
      <c r="B17" s="12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4">
        <f t="shared" si="1"/>
        <v>0</v>
      </c>
    </row>
    <row r="18" ht="14.25" customHeight="1">
      <c r="A18" s="11"/>
      <c r="B18" s="12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4">
        <f t="shared" si="1"/>
        <v>0</v>
      </c>
    </row>
    <row r="19" ht="14.25" customHeight="1">
      <c r="A19" s="11"/>
      <c r="B19" s="12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4">
        <f t="shared" si="1"/>
        <v>0</v>
      </c>
    </row>
    <row r="20" ht="14.25" customHeight="1">
      <c r="A20" s="11"/>
      <c r="B20" s="12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4">
        <f t="shared" si="1"/>
        <v>0</v>
      </c>
    </row>
    <row r="21" ht="14.25" customHeight="1">
      <c r="A21" s="11"/>
      <c r="B21" s="12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4">
        <f t="shared" si="1"/>
        <v>0</v>
      </c>
    </row>
    <row r="22" ht="14.25" customHeight="1">
      <c r="A22" s="11"/>
      <c r="B22" s="12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4">
        <f t="shared" si="1"/>
        <v>0</v>
      </c>
    </row>
    <row r="23" ht="14.25" customHeight="1">
      <c r="A23" s="11"/>
      <c r="B23" s="12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4">
        <f t="shared" si="1"/>
        <v>0</v>
      </c>
    </row>
    <row r="24" ht="14.25" customHeight="1">
      <c r="A24" s="11"/>
      <c r="B24" s="12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5">
        <f t="shared" si="1"/>
        <v>0</v>
      </c>
    </row>
    <row r="25" ht="14.2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ht="14.25" customHeight="1">
      <c r="A26" s="2"/>
      <c r="B26" s="16">
        <f>SUM(B5:B24)</f>
        <v>66</v>
      </c>
      <c r="C26" s="16">
        <f>B26</f>
        <v>66</v>
      </c>
      <c r="D26" s="16">
        <f t="shared" ref="D26:V26" si="2">C26-SUM(C5:C24)</f>
        <v>62</v>
      </c>
      <c r="E26" s="16">
        <f t="shared" si="2"/>
        <v>58</v>
      </c>
      <c r="F26" s="16">
        <f t="shared" si="2"/>
        <v>55</v>
      </c>
      <c r="G26" s="16">
        <f t="shared" si="2"/>
        <v>52</v>
      </c>
      <c r="H26" s="16">
        <f t="shared" si="2"/>
        <v>49</v>
      </c>
      <c r="I26" s="16">
        <f t="shared" si="2"/>
        <v>46</v>
      </c>
      <c r="J26" s="16">
        <f t="shared" si="2"/>
        <v>42</v>
      </c>
      <c r="K26" s="16">
        <f t="shared" si="2"/>
        <v>39</v>
      </c>
      <c r="L26" s="16">
        <f t="shared" si="2"/>
        <v>36</v>
      </c>
      <c r="M26" s="16">
        <f t="shared" si="2"/>
        <v>32</v>
      </c>
      <c r="N26" s="16">
        <f t="shared" si="2"/>
        <v>28</v>
      </c>
      <c r="O26" s="16">
        <f t="shared" si="2"/>
        <v>24</v>
      </c>
      <c r="P26" s="16">
        <f t="shared" si="2"/>
        <v>21</v>
      </c>
      <c r="Q26" s="16">
        <f t="shared" si="2"/>
        <v>18</v>
      </c>
      <c r="R26" s="16">
        <f t="shared" si="2"/>
        <v>16</v>
      </c>
      <c r="S26" s="16">
        <f t="shared" si="2"/>
        <v>13</v>
      </c>
      <c r="T26" s="16">
        <f t="shared" si="2"/>
        <v>10</v>
      </c>
      <c r="U26" s="16">
        <f t="shared" si="2"/>
        <v>7</v>
      </c>
      <c r="V26" s="16">
        <f t="shared" si="2"/>
        <v>4</v>
      </c>
      <c r="W26" s="16">
        <v>0.0</v>
      </c>
    </row>
    <row r="27" ht="14.25" customHeight="1">
      <c r="A27" s="3" t="s">
        <v>45</v>
      </c>
      <c r="B27" s="2">
        <f>B26</f>
        <v>66</v>
      </c>
      <c r="C27" s="2">
        <f t="shared" ref="C27:U27" si="3">D26</f>
        <v>62</v>
      </c>
      <c r="D27" s="2">
        <f t="shared" si="3"/>
        <v>58</v>
      </c>
      <c r="E27" s="2">
        <f t="shared" si="3"/>
        <v>55</v>
      </c>
      <c r="F27" s="2">
        <f t="shared" si="3"/>
        <v>52</v>
      </c>
      <c r="G27" s="2">
        <f t="shared" si="3"/>
        <v>49</v>
      </c>
      <c r="H27" s="2">
        <f t="shared" si="3"/>
        <v>46</v>
      </c>
      <c r="I27" s="2">
        <f t="shared" si="3"/>
        <v>42</v>
      </c>
      <c r="J27" s="2">
        <f t="shared" si="3"/>
        <v>39</v>
      </c>
      <c r="K27" s="2">
        <f t="shared" si="3"/>
        <v>36</v>
      </c>
      <c r="L27" s="2">
        <f t="shared" si="3"/>
        <v>32</v>
      </c>
      <c r="M27" s="2">
        <f t="shared" si="3"/>
        <v>28</v>
      </c>
      <c r="N27" s="2">
        <f t="shared" si="3"/>
        <v>24</v>
      </c>
      <c r="O27" s="2">
        <f t="shared" si="3"/>
        <v>21</v>
      </c>
      <c r="P27" s="2">
        <f t="shared" si="3"/>
        <v>18</v>
      </c>
      <c r="Q27" s="2">
        <f t="shared" si="3"/>
        <v>16</v>
      </c>
      <c r="R27" s="2">
        <f t="shared" si="3"/>
        <v>13</v>
      </c>
      <c r="S27" s="2">
        <f t="shared" si="3"/>
        <v>10</v>
      </c>
      <c r="T27" s="2">
        <f t="shared" si="3"/>
        <v>7</v>
      </c>
      <c r="U27" s="2">
        <f t="shared" si="3"/>
        <v>4</v>
      </c>
      <c r="V27" s="2">
        <f>MAX(0,V26-SUM(V5:V24))</f>
        <v>0</v>
      </c>
      <c r="W27" s="2"/>
    </row>
    <row r="28" ht="14.25" customHeight="1">
      <c r="A28" s="2" t="s">
        <v>46</v>
      </c>
      <c r="B28" s="16">
        <f t="shared" ref="B28:B29" si="4">SUM(B5:B24)</f>
        <v>66</v>
      </c>
      <c r="C28" s="16">
        <f t="shared" ref="C28:C29" si="5">MAX(0,$B$28-($B$28/20)*1)</f>
        <v>62.7</v>
      </c>
      <c r="D28" s="16">
        <f t="shared" ref="D28:D29" si="6">MAX(0,$B$28-($B$28/20)*2)</f>
        <v>59.4</v>
      </c>
      <c r="E28" s="16">
        <f t="shared" ref="E28:E29" si="7">MAX(0,$B$28-($B$28/20)*3)</f>
        <v>56.1</v>
      </c>
      <c r="F28" s="16">
        <f t="shared" ref="F28:F29" si="8">MAX(0,$B$28-($B$28/20)*4)</f>
        <v>52.8</v>
      </c>
      <c r="G28" s="16">
        <f t="shared" ref="G28:G29" si="9">MAX(0,$B$28-($B$28/20)*5)</f>
        <v>49.5</v>
      </c>
      <c r="H28" s="16">
        <f t="shared" ref="H28:H29" si="10">MAX(0,$B$28-($B$28/20)*6)</f>
        <v>46.2</v>
      </c>
      <c r="I28" s="16">
        <f t="shared" ref="I28:I29" si="11">MAX(0,$B$28-($B$28/20)*7)</f>
        <v>42.9</v>
      </c>
      <c r="J28" s="16">
        <f t="shared" ref="J28:J29" si="12">MAX(0,$B$28-($B$28/20)*8)</f>
        <v>39.6</v>
      </c>
      <c r="K28" s="16">
        <f t="shared" ref="K28:K29" si="13">MAX(0,$B$28-($B$28/20)*9)</f>
        <v>36.3</v>
      </c>
      <c r="L28" s="16">
        <f t="shared" ref="L28:L29" si="14">MAX(0,$B$28-($B$28/20)*10)</f>
        <v>33</v>
      </c>
      <c r="M28" s="16">
        <f t="shared" ref="M28:M29" si="15">MAX(0,$B$28-($B$28/20)*11)</f>
        <v>29.7</v>
      </c>
      <c r="N28" s="16">
        <f t="shared" ref="N28:N29" si="16">MAX(0,$B$28-($B$28/20)*12)</f>
        <v>26.4</v>
      </c>
      <c r="O28" s="16">
        <f t="shared" ref="O28:O29" si="17">MAX(0,$B$28-($B$28/20)*13)</f>
        <v>23.1</v>
      </c>
      <c r="P28" s="16">
        <f t="shared" ref="P28:P29" si="18">MAX(0,$B$28-($B$28/20)*14)</f>
        <v>19.8</v>
      </c>
      <c r="Q28" s="16">
        <f t="shared" ref="Q28:Q29" si="19">MAX(0,$B$28-($B$28/20)*15)</f>
        <v>16.5</v>
      </c>
      <c r="R28" s="16">
        <f t="shared" ref="R28:R29" si="20">MAX(0,$B$28-($B$28/20)*16)</f>
        <v>13.2</v>
      </c>
      <c r="S28" s="16">
        <f t="shared" ref="S28:S29" si="21">MAX(0,$B$28-($B$28/20)*17)</f>
        <v>9.9</v>
      </c>
      <c r="T28" s="16">
        <f t="shared" ref="T28:T29" si="22">MAX(0,$B$28-($B$28/20)*18)</f>
        <v>6.6</v>
      </c>
      <c r="U28" s="16">
        <f t="shared" ref="U28:U29" si="23">MAX(0,$B$28-($B$28/20)*19)</f>
        <v>3.3</v>
      </c>
      <c r="V28" s="16">
        <f t="shared" ref="V28:V29" si="24">MAX(0,$B$28-($B$28/20)*20)</f>
        <v>0</v>
      </c>
      <c r="W28" s="16">
        <v>0.0</v>
      </c>
    </row>
    <row r="29" ht="14.25" customHeight="1">
      <c r="A29" s="3" t="s">
        <v>46</v>
      </c>
      <c r="B29" s="2">
        <f t="shared" si="4"/>
        <v>58</v>
      </c>
      <c r="C29" s="2">
        <f t="shared" si="5"/>
        <v>62.7</v>
      </c>
      <c r="D29" s="2">
        <f t="shared" si="6"/>
        <v>59.4</v>
      </c>
      <c r="E29" s="2">
        <f t="shared" si="7"/>
        <v>56.1</v>
      </c>
      <c r="F29" s="2">
        <f t="shared" si="8"/>
        <v>52.8</v>
      </c>
      <c r="G29" s="2">
        <f t="shared" si="9"/>
        <v>49.5</v>
      </c>
      <c r="H29" s="2">
        <f t="shared" si="10"/>
        <v>46.2</v>
      </c>
      <c r="I29" s="2">
        <f t="shared" si="11"/>
        <v>42.9</v>
      </c>
      <c r="J29" s="2">
        <f t="shared" si="12"/>
        <v>39.6</v>
      </c>
      <c r="K29" s="2">
        <f t="shared" si="13"/>
        <v>36.3</v>
      </c>
      <c r="L29" s="2">
        <f t="shared" si="14"/>
        <v>33</v>
      </c>
      <c r="M29" s="2">
        <f t="shared" si="15"/>
        <v>29.7</v>
      </c>
      <c r="N29" s="2">
        <f t="shared" si="16"/>
        <v>26.4</v>
      </c>
      <c r="O29" s="2">
        <f t="shared" si="17"/>
        <v>23.1</v>
      </c>
      <c r="P29" s="2">
        <f t="shared" si="18"/>
        <v>19.8</v>
      </c>
      <c r="Q29" s="2">
        <f t="shared" si="19"/>
        <v>16.5</v>
      </c>
      <c r="R29" s="2">
        <f t="shared" si="20"/>
        <v>13.2</v>
      </c>
      <c r="S29" s="2">
        <f t="shared" si="21"/>
        <v>9.9</v>
      </c>
      <c r="T29" s="2">
        <f t="shared" si="22"/>
        <v>6.6</v>
      </c>
      <c r="U29" s="2">
        <f t="shared" si="23"/>
        <v>3.3</v>
      </c>
      <c r="V29" s="2">
        <f t="shared" si="24"/>
        <v>0</v>
      </c>
      <c r="W29" s="2"/>
    </row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A3:A4"/>
    <mergeCell ref="B3:B4"/>
    <mergeCell ref="C3:V3"/>
    <mergeCell ref="W3:W4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6.29"/>
    <col customWidth="1" min="2" max="2" width="17.29"/>
    <col customWidth="1" min="3" max="3" width="6.14"/>
    <col customWidth="1" min="4" max="5" width="5.57"/>
    <col customWidth="1" min="6" max="6" width="5.43"/>
    <col customWidth="1" min="7" max="7" width="37.29"/>
    <col customWidth="1" min="8" max="8" width="5.14"/>
    <col customWidth="1" min="9" max="9" width="4.57"/>
    <col customWidth="1" min="10" max="10" width="4.71"/>
    <col customWidth="1" min="11" max="11" width="6.14"/>
    <col customWidth="1" min="12" max="22" width="3.43"/>
    <col customWidth="1" min="23" max="23" width="10.71"/>
  </cols>
  <sheetData>
    <row r="1" ht="36.75" customHeight="1">
      <c r="A1" s="1" t="s">
        <v>2</v>
      </c>
      <c r="B1" s="2"/>
      <c r="C1" s="2"/>
      <c r="D1" s="2"/>
      <c r="E1" s="2"/>
      <c r="F1" s="2"/>
      <c r="G1" s="3" t="s">
        <v>4</v>
      </c>
      <c r="H1" s="3"/>
      <c r="I1" s="3"/>
      <c r="J1" s="3"/>
      <c r="K1" s="3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ht="14.2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ht="14.25" customHeight="1">
      <c r="A3" s="4" t="s">
        <v>5</v>
      </c>
      <c r="B3" s="4" t="s">
        <v>6</v>
      </c>
      <c r="C3" s="5" t="s">
        <v>7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7"/>
      <c r="W3" s="4" t="s">
        <v>8</v>
      </c>
    </row>
    <row r="4" ht="14.25" customHeight="1">
      <c r="A4" s="8"/>
      <c r="B4" s="8"/>
      <c r="C4" s="9">
        <v>1.0</v>
      </c>
      <c r="D4" s="9">
        <v>2.0</v>
      </c>
      <c r="E4" s="9">
        <v>3.0</v>
      </c>
      <c r="F4" s="9">
        <v>4.0</v>
      </c>
      <c r="G4" s="9">
        <v>5.0</v>
      </c>
      <c r="H4" s="9">
        <v>6.0</v>
      </c>
      <c r="I4" s="9">
        <v>7.0</v>
      </c>
      <c r="J4" s="9">
        <v>8.0</v>
      </c>
      <c r="K4" s="9">
        <v>9.0</v>
      </c>
      <c r="L4" s="9">
        <v>10.0</v>
      </c>
      <c r="M4" s="9">
        <v>11.0</v>
      </c>
      <c r="N4" s="9">
        <v>12.0</v>
      </c>
      <c r="O4" s="9">
        <v>13.0</v>
      </c>
      <c r="P4" s="9">
        <v>14.0</v>
      </c>
      <c r="Q4" s="9">
        <v>15.0</v>
      </c>
      <c r="R4" s="9">
        <v>16.0</v>
      </c>
      <c r="S4" s="9">
        <v>17.0</v>
      </c>
      <c r="T4" s="9">
        <v>18.0</v>
      </c>
      <c r="U4" s="9">
        <v>19.0</v>
      </c>
      <c r="V4" s="9">
        <v>20.0</v>
      </c>
      <c r="W4" s="10"/>
    </row>
    <row r="5" ht="14.25" customHeight="1">
      <c r="A5" s="11" t="s">
        <v>11</v>
      </c>
      <c r="B5" s="12">
        <v>6.0</v>
      </c>
      <c r="C5" s="11">
        <v>3.0</v>
      </c>
      <c r="D5" s="11">
        <v>3.0</v>
      </c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3">
        <f t="shared" ref="W5:W24" si="1">SUM(C5:V5)</f>
        <v>6</v>
      </c>
    </row>
    <row r="6" ht="14.25" customHeight="1">
      <c r="A6" s="11" t="s">
        <v>12</v>
      </c>
      <c r="B6" s="12">
        <v>6.0</v>
      </c>
      <c r="C6" s="11"/>
      <c r="D6" s="11"/>
      <c r="E6" s="11">
        <v>3.0</v>
      </c>
      <c r="F6" s="11"/>
      <c r="G6" s="11">
        <v>3.0</v>
      </c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4">
        <f t="shared" si="1"/>
        <v>6</v>
      </c>
    </row>
    <row r="7" ht="14.25" customHeight="1">
      <c r="A7" s="11" t="s">
        <v>17</v>
      </c>
      <c r="B7" s="12">
        <v>6.0</v>
      </c>
      <c r="C7" s="11"/>
      <c r="D7" s="11"/>
      <c r="E7" s="11"/>
      <c r="F7" s="11"/>
      <c r="G7" s="11"/>
      <c r="H7" s="11">
        <v>3.0</v>
      </c>
      <c r="I7" s="11">
        <v>3.0</v>
      </c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4">
        <f t="shared" si="1"/>
        <v>6</v>
      </c>
    </row>
    <row r="8" ht="14.25" customHeight="1">
      <c r="A8" s="11" t="s">
        <v>22</v>
      </c>
      <c r="B8" s="12">
        <v>4.0</v>
      </c>
      <c r="C8" s="11"/>
      <c r="D8" s="11"/>
      <c r="E8" s="11"/>
      <c r="F8" s="11"/>
      <c r="G8" s="11"/>
      <c r="H8" s="11"/>
      <c r="I8" s="11"/>
      <c r="J8" s="11">
        <v>4.0</v>
      </c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4">
        <f t="shared" si="1"/>
        <v>4</v>
      </c>
    </row>
    <row r="9" ht="14.25" customHeight="1">
      <c r="A9" s="11" t="s">
        <v>26</v>
      </c>
      <c r="B9" s="12">
        <v>6.0</v>
      </c>
      <c r="C9" s="11"/>
      <c r="D9" s="11"/>
      <c r="E9" s="11"/>
      <c r="F9" s="11"/>
      <c r="G9" s="11"/>
      <c r="H9" s="11"/>
      <c r="I9" s="11"/>
      <c r="J9" s="11"/>
      <c r="K9" s="11">
        <v>3.0</v>
      </c>
      <c r="L9" s="11"/>
      <c r="M9" s="11">
        <v>3.0</v>
      </c>
      <c r="N9" s="11"/>
      <c r="O9" s="11"/>
      <c r="P9" s="11"/>
      <c r="Q9" s="11"/>
      <c r="R9" s="11"/>
      <c r="S9" s="11"/>
      <c r="T9" s="11"/>
      <c r="U9" s="11"/>
      <c r="V9" s="11"/>
      <c r="W9" s="14">
        <f t="shared" si="1"/>
        <v>6</v>
      </c>
    </row>
    <row r="10" ht="14.25" customHeight="1">
      <c r="A10" s="11" t="s">
        <v>30</v>
      </c>
      <c r="B10" s="12">
        <v>8.0</v>
      </c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>
        <v>3.0</v>
      </c>
      <c r="O10" s="11">
        <v>3.0</v>
      </c>
      <c r="P10" s="11">
        <v>2.0</v>
      </c>
      <c r="Q10" s="11"/>
      <c r="R10" s="11"/>
      <c r="S10" s="11"/>
      <c r="T10" s="11"/>
      <c r="U10" s="11"/>
      <c r="V10" s="11"/>
      <c r="W10" s="14">
        <f t="shared" si="1"/>
        <v>8</v>
      </c>
    </row>
    <row r="11" ht="14.25" customHeight="1">
      <c r="A11" s="11" t="s">
        <v>34</v>
      </c>
      <c r="B11" s="12">
        <v>6.0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>
        <v>3.0</v>
      </c>
      <c r="R11" s="11"/>
      <c r="S11" s="11">
        <v>3.0</v>
      </c>
      <c r="T11" s="11"/>
      <c r="U11" s="11"/>
      <c r="V11" s="11"/>
      <c r="W11" s="14">
        <f t="shared" si="1"/>
        <v>6</v>
      </c>
    </row>
    <row r="12" ht="14.25" customHeight="1">
      <c r="A12" s="11" t="s">
        <v>37</v>
      </c>
      <c r="B12" s="12">
        <v>6.0</v>
      </c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>
        <v>3.0</v>
      </c>
      <c r="U12" s="11">
        <v>3.0</v>
      </c>
      <c r="V12" s="11"/>
      <c r="W12" s="14">
        <f t="shared" si="1"/>
        <v>6</v>
      </c>
    </row>
    <row r="13" ht="14.25" customHeight="1">
      <c r="A13" s="11"/>
      <c r="B13" s="12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4">
        <f t="shared" si="1"/>
        <v>0</v>
      </c>
    </row>
    <row r="14" ht="14.25" customHeight="1">
      <c r="A14" s="11"/>
      <c r="B14" s="12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4">
        <f t="shared" si="1"/>
        <v>0</v>
      </c>
    </row>
    <row r="15" ht="14.25" customHeight="1">
      <c r="A15" s="11"/>
      <c r="B15" s="12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4">
        <f t="shared" si="1"/>
        <v>0</v>
      </c>
    </row>
    <row r="16" ht="14.25" customHeight="1">
      <c r="A16" s="11"/>
      <c r="B16" s="12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4">
        <f t="shared" si="1"/>
        <v>0</v>
      </c>
    </row>
    <row r="17" ht="14.25" customHeight="1">
      <c r="A17" s="11"/>
      <c r="B17" s="12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4">
        <f t="shared" si="1"/>
        <v>0</v>
      </c>
    </row>
    <row r="18" ht="14.25" customHeight="1">
      <c r="A18" s="11"/>
      <c r="B18" s="12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4">
        <f t="shared" si="1"/>
        <v>0</v>
      </c>
    </row>
    <row r="19" ht="14.25" customHeight="1">
      <c r="A19" s="11"/>
      <c r="B19" s="12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4">
        <f t="shared" si="1"/>
        <v>0</v>
      </c>
    </row>
    <row r="20" ht="14.25" customHeight="1">
      <c r="A20" s="11"/>
      <c r="B20" s="12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4">
        <f t="shared" si="1"/>
        <v>0</v>
      </c>
    </row>
    <row r="21" ht="14.25" customHeight="1">
      <c r="A21" s="11"/>
      <c r="B21" s="12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4">
        <f t="shared" si="1"/>
        <v>0</v>
      </c>
    </row>
    <row r="22" ht="14.25" customHeight="1">
      <c r="A22" s="11"/>
      <c r="B22" s="12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4">
        <f t="shared" si="1"/>
        <v>0</v>
      </c>
    </row>
    <row r="23" ht="14.25" customHeight="1">
      <c r="A23" s="11"/>
      <c r="B23" s="12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4">
        <f t="shared" si="1"/>
        <v>0</v>
      </c>
    </row>
    <row r="24" ht="14.25" customHeight="1">
      <c r="A24" s="11"/>
      <c r="B24" s="12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5">
        <f t="shared" si="1"/>
        <v>0</v>
      </c>
    </row>
    <row r="25" ht="14.2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ht="14.25" customHeight="1">
      <c r="A26" s="2"/>
      <c r="B26" s="16">
        <f>SUM(B5:B24)</f>
        <v>48</v>
      </c>
      <c r="C26" s="16">
        <f>B26</f>
        <v>48</v>
      </c>
      <c r="D26" s="16">
        <f t="shared" ref="D26:V26" si="2">C26-SUM(C5:C24)</f>
        <v>45</v>
      </c>
      <c r="E26" s="16">
        <f t="shared" si="2"/>
        <v>42</v>
      </c>
      <c r="F26" s="16">
        <f t="shared" si="2"/>
        <v>39</v>
      </c>
      <c r="G26" s="16">
        <f t="shared" si="2"/>
        <v>39</v>
      </c>
      <c r="H26" s="16">
        <f t="shared" si="2"/>
        <v>36</v>
      </c>
      <c r="I26" s="16">
        <f t="shared" si="2"/>
        <v>33</v>
      </c>
      <c r="J26" s="16">
        <f t="shared" si="2"/>
        <v>30</v>
      </c>
      <c r="K26" s="16">
        <f t="shared" si="2"/>
        <v>26</v>
      </c>
      <c r="L26" s="16">
        <f t="shared" si="2"/>
        <v>23</v>
      </c>
      <c r="M26" s="16">
        <f t="shared" si="2"/>
        <v>23</v>
      </c>
      <c r="N26" s="16">
        <f t="shared" si="2"/>
        <v>20</v>
      </c>
      <c r="O26" s="16">
        <f t="shared" si="2"/>
        <v>17</v>
      </c>
      <c r="P26" s="16">
        <f t="shared" si="2"/>
        <v>14</v>
      </c>
      <c r="Q26" s="16">
        <f t="shared" si="2"/>
        <v>12</v>
      </c>
      <c r="R26" s="16">
        <f t="shared" si="2"/>
        <v>9</v>
      </c>
      <c r="S26" s="16">
        <f t="shared" si="2"/>
        <v>9</v>
      </c>
      <c r="T26" s="16">
        <f t="shared" si="2"/>
        <v>6</v>
      </c>
      <c r="U26" s="16">
        <f t="shared" si="2"/>
        <v>3</v>
      </c>
      <c r="V26" s="16">
        <f t="shared" si="2"/>
        <v>0</v>
      </c>
      <c r="W26" s="16">
        <v>0.0</v>
      </c>
    </row>
    <row r="27" ht="14.25" customHeight="1">
      <c r="A27" s="3" t="s">
        <v>45</v>
      </c>
      <c r="B27" s="2">
        <f>B26</f>
        <v>48</v>
      </c>
      <c r="C27" s="2">
        <f t="shared" ref="C27:U27" si="3">D26</f>
        <v>45</v>
      </c>
      <c r="D27" s="2">
        <f t="shared" si="3"/>
        <v>42</v>
      </c>
      <c r="E27" s="2">
        <f t="shared" si="3"/>
        <v>39</v>
      </c>
      <c r="F27" s="2">
        <f t="shared" si="3"/>
        <v>39</v>
      </c>
      <c r="G27" s="2">
        <f t="shared" si="3"/>
        <v>36</v>
      </c>
      <c r="H27" s="2">
        <f t="shared" si="3"/>
        <v>33</v>
      </c>
      <c r="I27" s="2">
        <f t="shared" si="3"/>
        <v>30</v>
      </c>
      <c r="J27" s="2">
        <f t="shared" si="3"/>
        <v>26</v>
      </c>
      <c r="K27" s="2">
        <f t="shared" si="3"/>
        <v>23</v>
      </c>
      <c r="L27" s="2">
        <f t="shared" si="3"/>
        <v>23</v>
      </c>
      <c r="M27" s="2">
        <f t="shared" si="3"/>
        <v>20</v>
      </c>
      <c r="N27" s="2">
        <f t="shared" si="3"/>
        <v>17</v>
      </c>
      <c r="O27" s="2">
        <f t="shared" si="3"/>
        <v>14</v>
      </c>
      <c r="P27" s="2">
        <f t="shared" si="3"/>
        <v>12</v>
      </c>
      <c r="Q27" s="2">
        <f t="shared" si="3"/>
        <v>9</v>
      </c>
      <c r="R27" s="2">
        <f t="shared" si="3"/>
        <v>9</v>
      </c>
      <c r="S27" s="2">
        <f t="shared" si="3"/>
        <v>6</v>
      </c>
      <c r="T27" s="2">
        <f t="shared" si="3"/>
        <v>3</v>
      </c>
      <c r="U27" s="2">
        <f t="shared" si="3"/>
        <v>0</v>
      </c>
      <c r="V27" s="2">
        <f>MAX(0,V26-SUM(V5:V24))</f>
        <v>0</v>
      </c>
      <c r="W27" s="2"/>
    </row>
    <row r="28" ht="14.25" customHeight="1">
      <c r="A28" s="2" t="s">
        <v>46</v>
      </c>
      <c r="B28" s="16">
        <f t="shared" ref="B28:B29" si="4">SUM(B5:B24)</f>
        <v>48</v>
      </c>
      <c r="C28" s="16">
        <f t="shared" ref="C28:C29" si="5">MAX(0,$B$28-($B$28/20)*1)</f>
        <v>45.6</v>
      </c>
      <c r="D28" s="16">
        <f t="shared" ref="D28:D29" si="6">MAX(0,$B$28-($B$28/20)*2)</f>
        <v>43.2</v>
      </c>
      <c r="E28" s="16">
        <f t="shared" ref="E28:E29" si="7">MAX(0,$B$28-($B$28/20)*3)</f>
        <v>40.8</v>
      </c>
      <c r="F28" s="16">
        <f t="shared" ref="F28:F29" si="8">MAX(0,$B$28-($B$28/20)*4)</f>
        <v>38.4</v>
      </c>
      <c r="G28" s="16">
        <f t="shared" ref="G28:G29" si="9">MAX(0,$B$28-($B$28/20)*5)</f>
        <v>36</v>
      </c>
      <c r="H28" s="16">
        <f t="shared" ref="H28:H29" si="10">MAX(0,$B$28-($B$28/20)*6)</f>
        <v>33.6</v>
      </c>
      <c r="I28" s="16">
        <f t="shared" ref="I28:I29" si="11">MAX(0,$B$28-($B$28/20)*7)</f>
        <v>31.2</v>
      </c>
      <c r="J28" s="16">
        <f t="shared" ref="J28:J29" si="12">MAX(0,$B$28-($B$28/20)*8)</f>
        <v>28.8</v>
      </c>
      <c r="K28" s="16">
        <f t="shared" ref="K28:K29" si="13">MAX(0,$B$28-($B$28/20)*9)</f>
        <v>26.4</v>
      </c>
      <c r="L28" s="16">
        <f t="shared" ref="L28:L29" si="14">MAX(0,$B$28-($B$28/20)*10)</f>
        <v>24</v>
      </c>
      <c r="M28" s="16">
        <f t="shared" ref="M28:M29" si="15">MAX(0,$B$28-($B$28/20)*11)</f>
        <v>21.6</v>
      </c>
      <c r="N28" s="16">
        <f t="shared" ref="N28:N29" si="16">MAX(0,$B$28-($B$28/20)*12)</f>
        <v>19.2</v>
      </c>
      <c r="O28" s="16">
        <f t="shared" ref="O28:O29" si="17">MAX(0,$B$28-($B$28/20)*13)</f>
        <v>16.8</v>
      </c>
      <c r="P28" s="16">
        <f t="shared" ref="P28:P29" si="18">MAX(0,$B$28-($B$28/20)*14)</f>
        <v>14.4</v>
      </c>
      <c r="Q28" s="16">
        <f t="shared" ref="Q28:Q29" si="19">MAX(0,$B$28-($B$28/20)*15)</f>
        <v>12</v>
      </c>
      <c r="R28" s="16">
        <f t="shared" ref="R28:R29" si="20">MAX(0,$B$28-($B$28/20)*16)</f>
        <v>9.6</v>
      </c>
      <c r="S28" s="16">
        <f t="shared" ref="S28:S29" si="21">MAX(0,$B$28-($B$28/20)*17)</f>
        <v>7.2</v>
      </c>
      <c r="T28" s="16">
        <f t="shared" ref="T28:T29" si="22">MAX(0,$B$28-($B$28/20)*18)</f>
        <v>4.8</v>
      </c>
      <c r="U28" s="16">
        <f t="shared" ref="U28:U29" si="23">MAX(0,$B$28-($B$28/20)*19)</f>
        <v>2.4</v>
      </c>
      <c r="V28" s="16">
        <f t="shared" ref="V28:V29" si="24">MAX(0,$B$28-($B$28/20)*20)</f>
        <v>0</v>
      </c>
      <c r="W28" s="16">
        <v>0.0</v>
      </c>
    </row>
    <row r="29" ht="14.25" customHeight="1">
      <c r="A29" s="3" t="s">
        <v>46</v>
      </c>
      <c r="B29" s="2">
        <f t="shared" si="4"/>
        <v>42</v>
      </c>
      <c r="C29" s="2">
        <f t="shared" si="5"/>
        <v>45.6</v>
      </c>
      <c r="D29" s="2">
        <f t="shared" si="6"/>
        <v>43.2</v>
      </c>
      <c r="E29" s="2">
        <f t="shared" si="7"/>
        <v>40.8</v>
      </c>
      <c r="F29" s="2">
        <f t="shared" si="8"/>
        <v>38.4</v>
      </c>
      <c r="G29" s="2">
        <f t="shared" si="9"/>
        <v>36</v>
      </c>
      <c r="H29" s="2">
        <f t="shared" si="10"/>
        <v>33.6</v>
      </c>
      <c r="I29" s="2">
        <f t="shared" si="11"/>
        <v>31.2</v>
      </c>
      <c r="J29" s="2">
        <f t="shared" si="12"/>
        <v>28.8</v>
      </c>
      <c r="K29" s="2">
        <f t="shared" si="13"/>
        <v>26.4</v>
      </c>
      <c r="L29" s="2">
        <f t="shared" si="14"/>
        <v>24</v>
      </c>
      <c r="M29" s="2">
        <f t="shared" si="15"/>
        <v>21.6</v>
      </c>
      <c r="N29" s="2">
        <f t="shared" si="16"/>
        <v>19.2</v>
      </c>
      <c r="O29" s="2">
        <f t="shared" si="17"/>
        <v>16.8</v>
      </c>
      <c r="P29" s="2">
        <f t="shared" si="18"/>
        <v>14.4</v>
      </c>
      <c r="Q29" s="2">
        <f t="shared" si="19"/>
        <v>12</v>
      </c>
      <c r="R29" s="2">
        <f t="shared" si="20"/>
        <v>9.6</v>
      </c>
      <c r="S29" s="2">
        <f t="shared" si="21"/>
        <v>7.2</v>
      </c>
      <c r="T29" s="2">
        <f t="shared" si="22"/>
        <v>4.8</v>
      </c>
      <c r="U29" s="2">
        <f t="shared" si="23"/>
        <v>2.4</v>
      </c>
      <c r="V29" s="2">
        <f t="shared" si="24"/>
        <v>0</v>
      </c>
      <c r="W29" s="2"/>
    </row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A3:A4"/>
    <mergeCell ref="B3:B4"/>
    <mergeCell ref="C3:V3"/>
    <mergeCell ref="W3:W4"/>
  </mergeCells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2026-09-11T05:00:41Z</dcterms:created>
  <dc:creator>openpyxl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